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Unit Economics" sheetId="2" state="visible" r:id="rId2"/>
    <sheet name="Revenue Target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0.0%;(0.0%);-"/>
    <numFmt numFmtId="166" formatCode="0.00x"/>
    <numFmt numFmtId="167" formatCode="$#,##0;($#,##0);-"/>
    <numFmt numFmtId="168" formatCode="#,##0;(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5" fillId="0" borderId="1" pivotButton="0" quotePrefix="0" xfId="0"/>
    <xf numFmtId="164" fontId="6" fillId="2" borderId="1" pivotButton="0" quotePrefix="0" xfId="0"/>
    <xf numFmtId="0" fontId="6" fillId="2" borderId="1" pivotButton="0" quotePrefix="0" xfId="0"/>
    <xf numFmtId="164" fontId="2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7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8" fontId="6" fillId="0" borderId="0" pivotButton="0" quotePrefix="0" xfId="0"/>
    <xf numFmtId="167" fontId="6" fillId="0" borderId="0" pivotButton="0" quotePrefix="0" xfId="0"/>
    <xf numFmtId="167" fontId="4" fillId="0" borderId="0" pivotButton="0" quotePrefix="0" xfId="0"/>
    <xf numFmtId="166" fontId="6" fillId="0" borderId="0" pivotButton="0" quotePrefix="0" xfId="0"/>
    <xf numFmtId="0" fontId="4" fillId="3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HIVOLT — Unit Economics Model</t>
        </is>
      </c>
    </row>
    <row r="2">
      <c r="A2" s="2" t="inlineStr">
        <is>
          <t>Fill every YELLOW cell from your Tapstitch account. Blue cells are levers you can change. Black cells are formulas — do not edit.</t>
        </is>
      </c>
    </row>
    <row r="4">
      <c r="A4" s="3" t="inlineStr">
        <is>
          <t>LEGEND</t>
        </is>
      </c>
    </row>
    <row r="5">
      <c r="A5" s="4" t="inlineStr">
        <is>
          <t>Yellow fill</t>
        </is>
      </c>
      <c r="B5" s="2" t="inlineStr">
        <is>
          <t>You must supply this from Tapstitch (blank cost, print fee, shipping, duty)</t>
        </is>
      </c>
    </row>
    <row r="6">
      <c r="A6" s="5" t="inlineStr">
        <is>
          <t>Blue text</t>
        </is>
      </c>
      <c r="B6" s="2" t="inlineStr">
        <is>
          <t>Assumption / lever — change to run scenarios</t>
        </is>
      </c>
    </row>
    <row r="7">
      <c r="A7" s="6" t="inlineStr">
        <is>
          <t>Black text</t>
        </is>
      </c>
      <c r="B7" s="2" t="inlineStr">
        <is>
          <t>Calculated — leave alone</t>
        </is>
      </c>
    </row>
    <row r="9">
      <c r="A9" s="3" t="inlineStr">
        <is>
          <t>1. TAPSTITCH COSTS PER PRODUCT</t>
        </is>
      </c>
    </row>
    <row r="10">
      <c r="A10" s="2" t="inlineStr">
        <is>
          <t>Pull from Tapstitch &gt; catalog (select US fulfilment region) and their Price Checker tool.</t>
        </is>
      </c>
    </row>
    <row r="12">
      <c r="A12" s="7" t="inlineStr">
        <is>
          <t>Product</t>
        </is>
      </c>
      <c r="B12" s="7" t="inlineStr">
        <is>
          <t>Retail $</t>
        </is>
      </c>
      <c r="C12" s="7" t="inlineStr">
        <is>
          <t># Blanks</t>
        </is>
      </c>
      <c r="D12" s="7" t="inlineStr">
        <is>
          <t>Blank cost ea $</t>
        </is>
      </c>
      <c r="E12" s="7" t="inlineStr">
        <is>
          <t># Print areas</t>
        </is>
      </c>
      <c r="F12" s="7" t="inlineStr">
        <is>
          <t>Print fee/area $</t>
        </is>
      </c>
      <c r="G12" s="7" t="inlineStr">
        <is>
          <t>Ship 1st item $</t>
        </is>
      </c>
      <c r="H12" s="7" t="inlineStr">
        <is>
          <t>Ship addl item $</t>
        </is>
      </c>
      <c r="I12" s="7" t="inlineStr">
        <is>
          <t>Duty + svc fee $</t>
        </is>
      </c>
      <c r="J12" s="7" t="inlineStr">
        <is>
          <t>US fulfil?</t>
        </is>
      </c>
    </row>
    <row r="13">
      <c r="A13" s="8" t="inlineStr">
        <is>
          <t>Voltcore 2-Piece Set (bra + leggings)</t>
        </is>
      </c>
      <c r="B13" s="9" t="n">
        <v>79</v>
      </c>
      <c r="C13" s="8" t="n">
        <v>2</v>
      </c>
      <c r="D13" s="10" t="n"/>
      <c r="E13" s="11" t="n"/>
      <c r="F13" s="10" t="n"/>
      <c r="G13" s="10" t="n"/>
      <c r="H13" s="10" t="n"/>
      <c r="I13" s="10" t="n"/>
      <c r="J13" s="11" t="n"/>
    </row>
    <row r="14">
      <c r="A14" s="8" t="inlineStr">
        <is>
          <t>Women's High-Waisted Flare Leggings</t>
        </is>
      </c>
      <c r="B14" s="9" t="n">
        <v>54</v>
      </c>
      <c r="C14" s="8" t="n">
        <v>1</v>
      </c>
      <c r="D14" s="10" t="n"/>
      <c r="E14" s="11" t="n"/>
      <c r="F14" s="10" t="n"/>
      <c r="G14" s="10" t="n"/>
      <c r="H14" s="10" t="n"/>
      <c r="I14" s="10" t="n"/>
      <c r="J14" s="11" t="n"/>
    </row>
    <row r="15">
      <c r="A15" s="8" t="inlineStr">
        <is>
          <t>Women's Twist Front V-Neck Sports Bra</t>
        </is>
      </c>
      <c r="B15" s="9" t="n">
        <v>38</v>
      </c>
      <c r="C15" s="8" t="n">
        <v>1</v>
      </c>
      <c r="D15" s="10" t="n"/>
      <c r="E15" s="11" t="n"/>
      <c r="F15" s="10" t="n"/>
      <c r="G15" s="10" t="n"/>
      <c r="H15" s="10" t="n"/>
      <c r="I15" s="10" t="n"/>
      <c r="J15" s="11" t="n"/>
    </row>
    <row r="16">
      <c r="A16" s="8" t="inlineStr">
        <is>
          <t>Men's High-Stretch Gym T-Shirt</t>
        </is>
      </c>
      <c r="B16" s="9" t="n">
        <v>34</v>
      </c>
      <c r="C16" s="8" t="n">
        <v>1</v>
      </c>
      <c r="D16" s="10" t="n"/>
      <c r="E16" s="11" t="n"/>
      <c r="F16" s="10" t="n"/>
      <c r="G16" s="10" t="n"/>
      <c r="H16" s="10" t="n"/>
      <c r="I16" s="10" t="n"/>
      <c r="J16" s="11" t="n"/>
    </row>
    <row r="17">
      <c r="A17" s="8" t="inlineStr">
        <is>
          <t>Men's Tapered Leg Drawstring Joggers</t>
        </is>
      </c>
      <c r="B17" s="9" t="n">
        <v>69</v>
      </c>
      <c r="C17" s="8" t="n">
        <v>1</v>
      </c>
      <c r="D17" s="10" t="n"/>
      <c r="E17" s="11" t="n"/>
      <c r="F17" s="10" t="n"/>
      <c r="G17" s="10" t="n"/>
      <c r="H17" s="10" t="n"/>
      <c r="I17" s="10" t="n"/>
      <c r="J17" s="11" t="n"/>
    </row>
    <row r="18">
      <c r="A18" s="8" t="inlineStr">
        <is>
          <t>Women's High Rise Yoga Shorts</t>
        </is>
      </c>
      <c r="B18" s="9" t="n">
        <v>42</v>
      </c>
      <c r="C18" s="8" t="n">
        <v>1</v>
      </c>
      <c r="D18" s="10" t="n"/>
      <c r="E18" s="11" t="n"/>
      <c r="F18" s="10" t="n"/>
      <c r="G18" s="10" t="n"/>
      <c r="H18" s="10" t="n"/>
      <c r="I18" s="10" t="n"/>
      <c r="J18" s="11" t="n"/>
    </row>
    <row r="19">
      <c r="A19" s="8" t="inlineStr">
        <is>
          <t>Two-Tone Fleeced Varsity Jacket</t>
        </is>
      </c>
      <c r="B19" s="9" t="n">
        <v>69</v>
      </c>
      <c r="C19" s="8" t="n">
        <v>1</v>
      </c>
      <c r="D19" s="10" t="n"/>
      <c r="E19" s="11" t="n"/>
      <c r="F19" s="10" t="n"/>
      <c r="G19" s="10" t="n"/>
      <c r="H19" s="10" t="n"/>
      <c r="I19" s="10" t="n"/>
      <c r="J19" s="11" t="n"/>
    </row>
    <row r="20">
      <c r="A20" s="2" t="inlineStr">
        <is>
          <t>EXAMPLE (delete) — Leggings WB0031</t>
        </is>
      </c>
      <c r="B20" s="12" t="n">
        <v>54</v>
      </c>
      <c r="C20" s="2" t="n">
        <v>1</v>
      </c>
      <c r="D20" s="12" t="n">
        <v>12.5</v>
      </c>
      <c r="E20" s="2" t="n">
        <v>1</v>
      </c>
      <c r="F20" s="12" t="n">
        <v>2.99</v>
      </c>
      <c r="G20" s="12" t="n">
        <v>4.44</v>
      </c>
      <c r="H20" s="12" t="n">
        <v>0.5</v>
      </c>
      <c r="I20" s="12" t="n">
        <v>2</v>
      </c>
      <c r="J20" s="2" t="inlineStr">
        <is>
          <t>No</t>
        </is>
      </c>
    </row>
    <row r="21">
      <c r="A21" s="2" t="inlineStr">
        <is>
          <t>Example values are illustrative only — NOT real Tapstitch prices. Research could not obtain published activewear costs.</t>
        </is>
      </c>
    </row>
    <row r="23">
      <c r="A23" s="3" t="inlineStr">
        <is>
          <t>2. STORE ASSUMPTIONS</t>
        </is>
      </c>
    </row>
    <row r="24">
      <c r="A24" s="13" t="inlineStr">
        <is>
          <t>Assumption</t>
        </is>
      </c>
      <c r="B24" s="13" t="inlineStr">
        <is>
          <t>Value</t>
        </is>
      </c>
      <c r="C24" s="13" t="inlineStr">
        <is>
          <t>Note</t>
        </is>
      </c>
    </row>
    <row r="25">
      <c r="A25" s="6" t="inlineStr">
        <is>
          <t>Payment fee %</t>
        </is>
      </c>
      <c r="B25" s="14" t="n">
        <v>0.029</v>
      </c>
      <c r="C25" s="2" t="inlineStr">
        <is>
          <t>Shopify Payments US standard ~2.9%</t>
        </is>
      </c>
    </row>
    <row r="26">
      <c r="A26" s="6" t="inlineStr">
        <is>
          <t>Payment fee fixed $</t>
        </is>
      </c>
      <c r="B26" s="15" t="n">
        <v>0.3</v>
      </c>
      <c r="C26" s="2" t="inlineStr">
        <is>
          <t>Per transaction</t>
        </is>
      </c>
    </row>
    <row r="27">
      <c r="A27" s="6" t="inlineStr">
        <is>
          <t>Return rate %</t>
        </is>
      </c>
      <c r="B27" s="14" t="n">
        <v>0.26</v>
      </c>
      <c r="C27" s="2" t="inlineStr">
        <is>
          <t>US apparel avg ~26%. Tapstitch reviews cite sizing runs small — consider 0.30+</t>
        </is>
      </c>
    </row>
    <row r="28">
      <c r="A28" s="6" t="inlineStr">
        <is>
          <t>Recovery on returns %</t>
        </is>
      </c>
      <c r="B28" s="14" t="n">
        <v>0</v>
      </c>
      <c r="C28" s="2" t="inlineStr">
        <is>
          <t>POD returns usually not resellable. 0% = total loss of goods.</t>
        </is>
      </c>
    </row>
    <row r="29">
      <c r="A29" s="6" t="inlineStr">
        <is>
          <t>Discount uptake %</t>
        </is>
      </c>
      <c r="B29" s="14" t="n">
        <v>0.5</v>
      </c>
      <c r="C29" s="2" t="inlineStr">
        <is>
          <t>Share of orders using VOLT20 / WELCOME10</t>
        </is>
      </c>
    </row>
    <row r="30">
      <c r="A30" s="6" t="inlineStr">
        <is>
          <t>Avg discount %</t>
        </is>
      </c>
      <c r="B30" s="14" t="n">
        <v>0.2</v>
      </c>
      <c r="C30" s="2" t="inlineStr">
        <is>
          <t>VOLT20 = 20%</t>
        </is>
      </c>
    </row>
    <row r="32">
      <c r="A32" s="3" t="inlineStr">
        <is>
          <t>3. ACQUISITION ASSUMPTIONS</t>
        </is>
      </c>
    </row>
    <row r="33">
      <c r="A33" s="13" t="inlineStr">
        <is>
          <t>Assumption</t>
        </is>
      </c>
      <c r="B33" s="13" t="inlineStr">
        <is>
          <t>Value</t>
        </is>
      </c>
      <c r="C33" s="13" t="inlineStr">
        <is>
          <t>Source</t>
        </is>
      </c>
    </row>
    <row r="34">
      <c r="A34" s="6" t="inlineStr">
        <is>
          <t>Meta CPC $</t>
        </is>
      </c>
      <c r="B34" s="15" t="n">
        <v>0.55</v>
      </c>
      <c r="C34" s="2" t="inlineStr">
        <is>
          <t>Sourced: apparel CPC $0.45-0.58 (Triple Whale / Lebesgue, CY2025)</t>
        </is>
      </c>
    </row>
    <row r="35">
      <c r="A35" s="6" t="inlineStr">
        <is>
          <t>Conversion rate %</t>
        </is>
      </c>
      <c r="B35" s="14" t="n">
        <v>0.01</v>
      </c>
      <c r="C35" s="2" t="inlineStr">
        <is>
          <t>Sourced: new-brand cold paid social 0.7-1.2%. 1.0% = midpoint</t>
        </is>
      </c>
    </row>
    <row r="36">
      <c r="A36" s="6" t="inlineStr">
        <is>
          <t>TikTok referral fee %</t>
        </is>
      </c>
      <c r="B36" s="14" t="n">
        <v>0.06</v>
      </c>
      <c r="C36" s="2" t="inlineStr">
        <is>
          <t>Sourced: 6% US flat; some sources cite 8% apparel. Verify in Seller Center</t>
        </is>
      </c>
    </row>
    <row r="37">
      <c r="A37" s="6" t="inlineStr">
        <is>
          <t>TikTok affiliate comm %</t>
        </is>
      </c>
      <c r="B37" s="14" t="n">
        <v>0.16</v>
      </c>
      <c r="C37" s="2" t="inlineStr">
        <is>
          <t>Sourced: fashion 15-18%; US avg 13.02%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Unit Economics by Product</t>
        </is>
      </c>
    </row>
    <row r="2">
      <c r="A2" s="2" t="inlineStr">
        <is>
          <t>Everything here is formula-driven from Inputs. Fill the yellow cells there and this populates.</t>
        </is>
      </c>
    </row>
    <row r="4">
      <c r="A4" s="7" t="inlineStr">
        <is>
          <t>Product</t>
        </is>
      </c>
      <c r="B4" s="7" t="inlineStr">
        <is>
          <t>Net revenue</t>
        </is>
      </c>
      <c r="C4" s="7" t="inlineStr">
        <is>
          <t>Landed COGS</t>
        </is>
      </c>
      <c r="D4" s="7" t="inlineStr">
        <is>
          <t>Shipping</t>
        </is>
      </c>
      <c r="E4" s="7" t="inlineStr">
        <is>
          <t>Payment fees</t>
        </is>
      </c>
      <c r="F4" s="7" t="inlineStr">
        <is>
          <t>Returns cost</t>
        </is>
      </c>
      <c r="G4" s="7" t="inlineStr">
        <is>
          <t>CM2 ($)</t>
        </is>
      </c>
      <c r="H4" s="7" t="inlineStr">
        <is>
          <t>CM2 (%)</t>
        </is>
      </c>
      <c r="I4" s="7" t="inlineStr">
        <is>
          <t>Breakeven ROAS</t>
        </is>
      </c>
      <c r="J4" s="7" t="inlineStr">
        <is>
          <t>Allowable CAC</t>
        </is>
      </c>
      <c r="K4" s="7" t="inlineStr">
        <is>
          <t>Actual CAC @ CPC/CVR</t>
        </is>
      </c>
      <c r="L4" s="7" t="inlineStr">
        <is>
          <t>Profit / order</t>
        </is>
      </c>
    </row>
    <row r="5">
      <c r="A5" s="8">
        <f>Inputs!A13</f>
        <v/>
      </c>
      <c r="B5" s="16">
        <f>Inputs!B13*(1-Inputs!$B$29*Inputs!$B$30)</f>
        <v/>
      </c>
      <c r="C5" s="16">
        <f>Inputs!C13*Inputs!D13+Inputs!E13*Inputs!F13+Inputs!I13</f>
        <v/>
      </c>
      <c r="D5" s="16">
        <f>Inputs!G13+MAX(0,Inputs!C13-1)*Inputs!H13</f>
        <v/>
      </c>
      <c r="E5" s="16">
        <f>B5*Inputs!$B$25+Inputs!$B$26</f>
        <v/>
      </c>
      <c r="F5" s="16">
        <f>Inputs!$B$27*(C5+D5)*(1-Inputs!$B$28)</f>
        <v/>
      </c>
      <c r="G5" s="16">
        <f>B5-C5-D5-E5-F5</f>
        <v/>
      </c>
      <c r="H5" s="17">
        <f>IFERROR(G5/B5,0)</f>
        <v/>
      </c>
      <c r="I5" s="18">
        <f>IFERROR(1/H5,0)</f>
        <v/>
      </c>
      <c r="J5" s="16">
        <f>G5</f>
        <v/>
      </c>
      <c r="K5" s="16">
        <f>IFERROR(Inputs!$B$34/Inputs!$B$35,0)</f>
        <v/>
      </c>
      <c r="L5" s="16">
        <f>G5-K5</f>
        <v/>
      </c>
    </row>
    <row r="6">
      <c r="A6" s="8">
        <f>Inputs!A14</f>
        <v/>
      </c>
      <c r="B6" s="16">
        <f>Inputs!B14*(1-Inputs!$B$29*Inputs!$B$30)</f>
        <v/>
      </c>
      <c r="C6" s="16">
        <f>Inputs!C14*Inputs!D14+Inputs!E14*Inputs!F14+Inputs!I14</f>
        <v/>
      </c>
      <c r="D6" s="16">
        <f>Inputs!G14+MAX(0,Inputs!C14-1)*Inputs!H14</f>
        <v/>
      </c>
      <c r="E6" s="16">
        <f>B6*Inputs!$B$25+Inputs!$B$26</f>
        <v/>
      </c>
      <c r="F6" s="16">
        <f>Inputs!$B$27*(C6+D6)*(1-Inputs!$B$28)</f>
        <v/>
      </c>
      <c r="G6" s="16">
        <f>B6-C6-D6-E6-F6</f>
        <v/>
      </c>
      <c r="H6" s="17">
        <f>IFERROR(G6/B6,0)</f>
        <v/>
      </c>
      <c r="I6" s="18">
        <f>IFERROR(1/H6,0)</f>
        <v/>
      </c>
      <c r="J6" s="16">
        <f>G6</f>
        <v/>
      </c>
      <c r="K6" s="16">
        <f>IFERROR(Inputs!$B$34/Inputs!$B$35,0)</f>
        <v/>
      </c>
      <c r="L6" s="16">
        <f>G6-K6</f>
        <v/>
      </c>
    </row>
    <row r="7">
      <c r="A7" s="8">
        <f>Inputs!A15</f>
        <v/>
      </c>
      <c r="B7" s="16">
        <f>Inputs!B15*(1-Inputs!$B$29*Inputs!$B$30)</f>
        <v/>
      </c>
      <c r="C7" s="16">
        <f>Inputs!C15*Inputs!D15+Inputs!E15*Inputs!F15+Inputs!I15</f>
        <v/>
      </c>
      <c r="D7" s="16">
        <f>Inputs!G15+MAX(0,Inputs!C15-1)*Inputs!H15</f>
        <v/>
      </c>
      <c r="E7" s="16">
        <f>B7*Inputs!$B$25+Inputs!$B$26</f>
        <v/>
      </c>
      <c r="F7" s="16">
        <f>Inputs!$B$27*(C7+D7)*(1-Inputs!$B$28)</f>
        <v/>
      </c>
      <c r="G7" s="16">
        <f>B7-C7-D7-E7-F7</f>
        <v/>
      </c>
      <c r="H7" s="17">
        <f>IFERROR(G7/B7,0)</f>
        <v/>
      </c>
      <c r="I7" s="18">
        <f>IFERROR(1/H7,0)</f>
        <v/>
      </c>
      <c r="J7" s="16">
        <f>G7</f>
        <v/>
      </c>
      <c r="K7" s="16">
        <f>IFERROR(Inputs!$B$34/Inputs!$B$35,0)</f>
        <v/>
      </c>
      <c r="L7" s="16">
        <f>G7-K7</f>
        <v/>
      </c>
    </row>
    <row r="8">
      <c r="A8" s="8">
        <f>Inputs!A16</f>
        <v/>
      </c>
      <c r="B8" s="16">
        <f>Inputs!B16*(1-Inputs!$B$29*Inputs!$B$30)</f>
        <v/>
      </c>
      <c r="C8" s="16">
        <f>Inputs!C16*Inputs!D16+Inputs!E16*Inputs!F16+Inputs!I16</f>
        <v/>
      </c>
      <c r="D8" s="16">
        <f>Inputs!G16+MAX(0,Inputs!C16-1)*Inputs!H16</f>
        <v/>
      </c>
      <c r="E8" s="16">
        <f>B8*Inputs!$B$25+Inputs!$B$26</f>
        <v/>
      </c>
      <c r="F8" s="16">
        <f>Inputs!$B$27*(C8+D8)*(1-Inputs!$B$28)</f>
        <v/>
      </c>
      <c r="G8" s="16">
        <f>B8-C8-D8-E8-F8</f>
        <v/>
      </c>
      <c r="H8" s="17">
        <f>IFERROR(G8/B8,0)</f>
        <v/>
      </c>
      <c r="I8" s="18">
        <f>IFERROR(1/H8,0)</f>
        <v/>
      </c>
      <c r="J8" s="16">
        <f>G8</f>
        <v/>
      </c>
      <c r="K8" s="16">
        <f>IFERROR(Inputs!$B$34/Inputs!$B$35,0)</f>
        <v/>
      </c>
      <c r="L8" s="16">
        <f>G8-K8</f>
        <v/>
      </c>
    </row>
    <row r="9">
      <c r="A9" s="8">
        <f>Inputs!A17</f>
        <v/>
      </c>
      <c r="B9" s="16">
        <f>Inputs!B17*(1-Inputs!$B$29*Inputs!$B$30)</f>
        <v/>
      </c>
      <c r="C9" s="16">
        <f>Inputs!C17*Inputs!D17+Inputs!E17*Inputs!F17+Inputs!I17</f>
        <v/>
      </c>
      <c r="D9" s="16">
        <f>Inputs!G17+MAX(0,Inputs!C17-1)*Inputs!H17</f>
        <v/>
      </c>
      <c r="E9" s="16">
        <f>B9*Inputs!$B$25+Inputs!$B$26</f>
        <v/>
      </c>
      <c r="F9" s="16">
        <f>Inputs!$B$27*(C9+D9)*(1-Inputs!$B$28)</f>
        <v/>
      </c>
      <c r="G9" s="16">
        <f>B9-C9-D9-E9-F9</f>
        <v/>
      </c>
      <c r="H9" s="17">
        <f>IFERROR(G9/B9,0)</f>
        <v/>
      </c>
      <c r="I9" s="18">
        <f>IFERROR(1/H9,0)</f>
        <v/>
      </c>
      <c r="J9" s="16">
        <f>G9</f>
        <v/>
      </c>
      <c r="K9" s="16">
        <f>IFERROR(Inputs!$B$34/Inputs!$B$35,0)</f>
        <v/>
      </c>
      <c r="L9" s="16">
        <f>G9-K9</f>
        <v/>
      </c>
    </row>
    <row r="10">
      <c r="A10" s="8">
        <f>Inputs!A18</f>
        <v/>
      </c>
      <c r="B10" s="16">
        <f>Inputs!B18*(1-Inputs!$B$29*Inputs!$B$30)</f>
        <v/>
      </c>
      <c r="C10" s="16">
        <f>Inputs!C18*Inputs!D18+Inputs!E18*Inputs!F18+Inputs!I18</f>
        <v/>
      </c>
      <c r="D10" s="16">
        <f>Inputs!G18+MAX(0,Inputs!C18-1)*Inputs!H18</f>
        <v/>
      </c>
      <c r="E10" s="16">
        <f>B10*Inputs!$B$25+Inputs!$B$26</f>
        <v/>
      </c>
      <c r="F10" s="16">
        <f>Inputs!$B$27*(C10+D10)*(1-Inputs!$B$28)</f>
        <v/>
      </c>
      <c r="G10" s="16">
        <f>B10-C10-D10-E10-F10</f>
        <v/>
      </c>
      <c r="H10" s="17">
        <f>IFERROR(G10/B10,0)</f>
        <v/>
      </c>
      <c r="I10" s="18">
        <f>IFERROR(1/H10,0)</f>
        <v/>
      </c>
      <c r="J10" s="16">
        <f>G10</f>
        <v/>
      </c>
      <c r="K10" s="16">
        <f>IFERROR(Inputs!$B$34/Inputs!$B$35,0)</f>
        <v/>
      </c>
      <c r="L10" s="16">
        <f>G10-K10</f>
        <v/>
      </c>
    </row>
    <row r="11">
      <c r="A11" s="8">
        <f>Inputs!A19</f>
        <v/>
      </c>
      <c r="B11" s="16">
        <f>Inputs!B19*(1-Inputs!$B$29*Inputs!$B$30)</f>
        <v/>
      </c>
      <c r="C11" s="16">
        <f>Inputs!C19*Inputs!D19+Inputs!E19*Inputs!F19+Inputs!I19</f>
        <v/>
      </c>
      <c r="D11" s="16">
        <f>Inputs!G19+MAX(0,Inputs!C19-1)*Inputs!H19</f>
        <v/>
      </c>
      <c r="E11" s="16">
        <f>B11*Inputs!$B$25+Inputs!$B$26</f>
        <v/>
      </c>
      <c r="F11" s="16">
        <f>Inputs!$B$27*(C11+D11)*(1-Inputs!$B$28)</f>
        <v/>
      </c>
      <c r="G11" s="16">
        <f>B11-C11-D11-E11-F11</f>
        <v/>
      </c>
      <c r="H11" s="17">
        <f>IFERROR(G11/B11,0)</f>
        <v/>
      </c>
      <c r="I11" s="18">
        <f>IFERROR(1/H11,0)</f>
        <v/>
      </c>
      <c r="J11" s="16">
        <f>G11</f>
        <v/>
      </c>
      <c r="K11" s="16">
        <f>IFERROR(Inputs!$B$34/Inputs!$B$35,0)</f>
        <v/>
      </c>
      <c r="L11" s="16">
        <f>G11-K11</f>
        <v/>
      </c>
    </row>
    <row r="14">
      <c r="A14" s="3" t="inlineStr">
        <is>
          <t>HOW TO READ THIS</t>
        </is>
      </c>
    </row>
    <row r="15">
      <c r="A15" s="13" t="inlineStr">
        <is>
          <t>CM2 (%)</t>
        </is>
      </c>
      <c r="B15" s="2" t="inlineStr">
        <is>
          <t>Contribution margin before ad spend. Sourced threshold: below 30% "paid acquisition gets very hard".</t>
        </is>
      </c>
    </row>
    <row r="16">
      <c r="A16" s="13" t="inlineStr">
        <is>
          <t>Breakeven ROAS</t>
        </is>
      </c>
      <c r="B16" s="2">
        <f> 1 / CM2%. The return on ad spend you must beat just to not lose money.</f>
        <v/>
      </c>
    </row>
    <row r="17">
      <c r="A17" s="13" t="inlineStr">
        <is>
          <t>Allowable CAC</t>
        </is>
      </c>
      <c r="B17" s="2" t="inlineStr">
        <is>
          <t>The most you can pay to acquire one order and break even. Equals CM2.</t>
        </is>
      </c>
    </row>
    <row r="18">
      <c r="A18" s="13" t="inlineStr">
        <is>
          <t>Actual CAC</t>
        </is>
      </c>
      <c r="B18" s="2">
        <f> CPC / conversion rate. What Meta will actually charge you at the assumed inputs.</f>
        <v/>
      </c>
    </row>
    <row r="19">
      <c r="A19" s="13" t="inlineStr">
        <is>
          <t>Profit / order</t>
        </is>
      </c>
      <c r="B19" s="2" t="inlineStr">
        <is>
          <t>Allowable CAC minus Actual CAC. NEGATIVE means you lose money on every order sold.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</cols>
  <sheetData>
    <row r="1">
      <c r="A1" s="1" t="inlineStr">
        <is>
          <t>Revenue Target Model</t>
        </is>
      </c>
    </row>
    <row r="2">
      <c r="A2" s="2" t="inlineStr">
        <is>
          <t>What $250k/month actually requires, using the unit economics from the previous sheet.</t>
        </is>
      </c>
    </row>
    <row r="4">
      <c r="A4" s="13" t="inlineStr">
        <is>
          <t>Target monthly revenue</t>
        </is>
      </c>
      <c r="B4" s="19" t="n">
        <v>250000</v>
      </c>
      <c r="C4" s="2" t="inlineStr">
        <is>
          <t>Change this to model any target</t>
        </is>
      </c>
    </row>
    <row r="5">
      <c r="A5" s="13" t="inlineStr">
        <is>
          <t>Blended AOV</t>
        </is>
      </c>
      <c r="B5" s="20">
        <f>IFERROR(AVERAGE('Unit Economics'!B5:B11),0)</f>
        <v/>
      </c>
      <c r="C5" s="2" t="inlineStr">
        <is>
          <t>Average net revenue across catalogue. Raising this is the highest-leverage lever.</t>
        </is>
      </c>
    </row>
    <row r="6">
      <c r="A6" s="13" t="inlineStr">
        <is>
          <t>Blended CM2 per order</t>
        </is>
      </c>
      <c r="B6" s="20">
        <f>IFERROR(AVERAGE('Unit Economics'!G5:G11),0)</f>
        <v/>
      </c>
    </row>
    <row r="7">
      <c r="A7" s="13" t="inlineStr">
        <is>
          <t>Blended CM2 %</t>
        </is>
      </c>
      <c r="B7" s="21">
        <f>IFERROR(B6/B5,0)</f>
        <v/>
      </c>
    </row>
    <row r="9">
      <c r="A9" s="3" t="inlineStr">
        <is>
          <t>VOLUME REQUIRED</t>
        </is>
      </c>
    </row>
    <row r="10">
      <c r="A10" s="6" t="inlineStr">
        <is>
          <t>Orders per month</t>
        </is>
      </c>
      <c r="B10" s="22">
        <f>IFERROR(B4/B5,0)</f>
        <v/>
      </c>
    </row>
    <row r="11">
      <c r="A11" s="6" t="inlineStr">
        <is>
          <t>Orders per day</t>
        </is>
      </c>
      <c r="B11" s="22">
        <f>IFERROR(B10/30,0)</f>
        <v/>
      </c>
    </row>
    <row r="12">
      <c r="A12" s="6" t="inlineStr">
        <is>
          <t>Sessions/mo @ 0.7% CVR</t>
        </is>
      </c>
      <c r="B12" s="22">
        <f>IFERROR(B10/0.007,0)</f>
        <v/>
      </c>
      <c r="C12" s="2" t="inlineStr">
        <is>
          <t>Sourced: new-brand cold paid social converts 0.7-1.2%</t>
        </is>
      </c>
    </row>
    <row r="13">
      <c r="A13" s="6" t="inlineStr">
        <is>
          <t>Sessions/mo @ 1.0% CVR</t>
        </is>
      </c>
      <c r="B13" s="22">
        <f>IFERROR(B10/0.010,0)</f>
        <v/>
      </c>
    </row>
    <row r="14">
      <c r="A14" s="6" t="inlineStr">
        <is>
          <t>Sessions/mo @ 2.0% CVR</t>
        </is>
      </c>
      <c r="B14" s="22">
        <f>IFERROR(B10/0.020,0)</f>
        <v/>
      </c>
    </row>
    <row r="16">
      <c r="A16" s="3" t="inlineStr">
        <is>
          <t>PAID ACQUISITION OUTCOME</t>
        </is>
      </c>
    </row>
    <row r="17">
      <c r="A17" s="6" t="inlineStr">
        <is>
          <t>Actual CAC (CPC / CVR)</t>
        </is>
      </c>
      <c r="B17" s="20">
        <f>IFERROR(Inputs!B34/Inputs!B35,0)</f>
        <v/>
      </c>
    </row>
    <row r="18">
      <c r="A18" s="6" t="inlineStr">
        <is>
          <t>Ad spend to hit target</t>
        </is>
      </c>
      <c r="B18" s="23">
        <f>IFERROR(B10*B17,0)</f>
        <v/>
      </c>
    </row>
    <row r="19">
      <c r="A19" s="6" t="inlineStr">
        <is>
          <t>Contribution generated</t>
        </is>
      </c>
      <c r="B19" s="23">
        <f>IFERROR(B10*B6,0)</f>
        <v/>
      </c>
    </row>
    <row r="20">
      <c r="A20" s="13" t="inlineStr">
        <is>
          <t>NET PROFIT / (LOSS)</t>
        </is>
      </c>
      <c r="B20" s="24">
        <f>B19-B18</f>
        <v/>
      </c>
    </row>
    <row r="21">
      <c r="A21" s="6" t="inlineStr">
        <is>
          <t>Achieved ROAS</t>
        </is>
      </c>
      <c r="B21" s="25">
        <f>IFERROR(B4/B18,0)</f>
        <v/>
      </c>
    </row>
    <row r="22">
      <c r="A22" s="6" t="inlineStr">
        <is>
          <t>Breakeven ROAS required</t>
        </is>
      </c>
      <c r="B22" s="25">
        <f>IFERROR(1/B7,0)</f>
        <v/>
      </c>
    </row>
    <row r="24">
      <c r="A24" s="3" t="inlineStr">
        <is>
          <t>TIKTOK SHOP ALTERNATIVE</t>
        </is>
      </c>
    </row>
    <row r="25">
      <c r="A25" s="6" t="inlineStr">
        <is>
          <t>Platform take (referral + affiliate)</t>
        </is>
      </c>
      <c r="B25" s="21">
        <f>Inputs!B36+Inputs!B37</f>
        <v/>
      </c>
    </row>
    <row r="26">
      <c r="A26" s="6" t="inlineStr">
        <is>
          <t>Cost per order on TikTok</t>
        </is>
      </c>
      <c r="B26" s="20">
        <f>B5*(Inputs!B36+Inputs!B37)</f>
        <v/>
      </c>
    </row>
    <row r="27">
      <c r="A27" s="6" t="inlineStr">
        <is>
          <t>vs Meta actual CAC</t>
        </is>
      </c>
      <c r="B27" s="20">
        <f>B17-B26</f>
        <v/>
      </c>
      <c r="C27" s="2" t="inlineStr">
        <is>
          <t>Positive = TikTok Shop is cheaper per order than Meta at these assumptions</t>
        </is>
      </c>
    </row>
    <row r="29">
      <c r="A29" s="2" t="inlineStr">
        <is>
          <t>Reality check: average active US TikTok Shop seller does $3,750/month GMV. Top 10% of sellers drive ~48% of all GMV.</t>
        </is>
      </c>
    </row>
    <row r="30">
      <c r="A30" s="2" t="inlineStr">
        <is>
          <t>$250k/month is top-decile TikTok Shop performance and is a content-volume business (10+ creator videos/week at scale).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52" customWidth="1" min="4" max="4"/>
  </cols>
  <sheetData>
    <row r="1">
      <c r="A1" s="1" t="inlineStr">
        <is>
          <t>Sources &amp; Confidence</t>
        </is>
      </c>
    </row>
    <row r="2">
      <c r="A2" s="2" t="inlineStr">
        <is>
          <t>Both research passes were run via web search only — direct page fetching was blocked by the network proxy. Figures are attributed but page methodology could not be verified.</t>
        </is>
      </c>
    </row>
    <row r="4">
      <c r="A4" s="26" t="inlineStr">
        <is>
          <t>Figure</t>
        </is>
      </c>
      <c r="B4" s="26" t="inlineStr">
        <is>
          <t>Value</t>
        </is>
      </c>
      <c r="C4" s="26" t="inlineStr">
        <is>
          <t>Confidence</t>
        </is>
      </c>
      <c r="D4" s="26" t="inlineStr">
        <is>
          <t>Source</t>
        </is>
      </c>
    </row>
    <row r="5">
      <c r="A5" s="27" t="inlineStr">
        <is>
          <t>Tapstitch activewear blank cost</t>
        </is>
      </c>
      <c r="B5" s="27" t="inlineStr">
        <is>
          <t>NOT FOUND</t>
        </is>
      </c>
      <c r="C5" s="27" t="inlineStr">
        <is>
          <t>n/a</t>
        </is>
      </c>
      <c r="D5" s="27" t="inlineStr">
        <is>
          <t>Prices render client-side; not in search index. Must pull from your account.</t>
        </is>
      </c>
    </row>
    <row r="6">
      <c r="A6" s="27" t="inlineStr">
        <is>
          <t>Tapstitch US shipping</t>
        </is>
      </c>
      <c r="B6" s="27" t="inlineStr">
        <is>
          <t>$4.44 first item + $0.50 addl</t>
        </is>
      </c>
      <c r="C6" s="27" t="inlineStr">
        <is>
          <t>HIGH — first party</t>
        </is>
      </c>
      <c r="D6" s="27" t="inlineStr">
        <is>
          <t>tapstitch.com/help-center/faq/detail/shipping-cost</t>
        </is>
      </c>
    </row>
    <row r="7">
      <c r="A7" s="27" t="inlineStr">
        <is>
          <t>Tapstitch print fee</t>
        </is>
      </c>
      <c r="B7" s="27" t="inlineStr">
        <is>
          <t>$2.99/area OR ~$5.00 one-side</t>
        </is>
      </c>
      <c r="C7" s="27" t="inlineStr">
        <is>
          <t>LOW — sources conflict</t>
        </is>
      </c>
      <c r="D7" s="27" t="inlineStr">
        <is>
          <t>michaelessek.com ; printsgram.com</t>
        </is>
      </c>
    </row>
    <row r="8">
      <c r="A8" s="27" t="inlineStr">
        <is>
          <t>Tapstitch US tariff surcharge</t>
        </is>
      </c>
      <c r="B8" s="27" t="inlineStr">
        <is>
          <t>20% duty on blank + $0.80-2.00/pc</t>
        </is>
      </c>
      <c r="C8" s="27" t="inlineStr">
        <is>
          <t>HIGH — first party</t>
        </is>
      </c>
      <c r="D8" s="27" t="inlineStr">
        <is>
          <t>support.tapstitch.com — U.S. Tariff Adjustment notice</t>
        </is>
      </c>
    </row>
    <row r="9">
      <c r="A9" s="27" t="inlineStr">
        <is>
          <t>Tapstitch activewear launch</t>
        </is>
      </c>
      <c r="B9" s="27" t="inlineStr">
        <is>
          <t>March 2026 — US stocking partial</t>
        </is>
      </c>
      <c r="C9" s="27" t="inlineStr">
        <is>
          <t>HIGH — first party</t>
        </is>
      </c>
      <c r="D9" s="27" t="inlineStr">
        <is>
          <t>The Monthly Stitch, March 2026</t>
        </is>
      </c>
    </row>
    <row r="10">
      <c r="A10" s="27" t="inlineStr">
        <is>
          <t>Apparel Meta CPC</t>
        </is>
      </c>
      <c r="B10" s="27" t="inlineStr">
        <is>
          <t>$0.45 - $0.58</t>
        </is>
      </c>
      <c r="C10" s="27" t="inlineStr">
        <is>
          <t>MEDIUM</t>
        </is>
      </c>
      <c r="D10" s="27" t="inlineStr">
        <is>
          <t>Triple Whale ; Lebesgue</t>
        </is>
      </c>
    </row>
    <row r="11">
      <c r="A11" s="27" t="inlineStr">
        <is>
          <t>New-brand cold paid social CVR</t>
        </is>
      </c>
      <c r="B11" s="27" t="inlineStr">
        <is>
          <t>0.7% - 1.2%</t>
        </is>
      </c>
      <c r="C11" s="27" t="inlineStr">
        <is>
          <t>MEDIUM</t>
        </is>
      </c>
      <c r="D11" s="27" t="inlineStr">
        <is>
          <t>Eightx conversion-rate-by-traffic-source 2026</t>
        </is>
      </c>
    </row>
    <row r="12">
      <c r="A12" s="27" t="inlineStr">
        <is>
          <t>Fashion Meta ROAS median</t>
        </is>
      </c>
      <c r="B12" s="27" t="inlineStr">
        <is>
          <t>2.18x (top 10% = 6.0x)</t>
        </is>
      </c>
      <c r="C12" s="27" t="inlineStr">
        <is>
          <t>MEDIUM</t>
        </is>
      </c>
      <c r="D12" s="27" t="inlineStr">
        <is>
          <t>AdAmigo fashion ROAS benchmarks 2026</t>
        </is>
      </c>
    </row>
    <row r="13">
      <c r="A13" s="27" t="inlineStr">
        <is>
          <t>US apparel return rate</t>
        </is>
      </c>
      <c r="B13" s="27" t="inlineStr">
        <is>
          <t>20% - 40% (avg ~26%)</t>
        </is>
      </c>
      <c r="C13" s="27" t="inlineStr">
        <is>
          <t>MEDIUM</t>
        </is>
      </c>
      <c r="D13" s="27" t="inlineStr">
        <is>
          <t>NRF / Happy Returns ; Richpanel</t>
        </is>
      </c>
    </row>
    <row r="14">
      <c r="A14" s="27" t="inlineStr">
        <is>
          <t>CM2 threshold for paid to work</t>
        </is>
      </c>
      <c r="B14" s="27" t="inlineStr">
        <is>
          <t>30% minimum</t>
        </is>
      </c>
      <c r="C14" s="27" t="inlineStr">
        <is>
          <t>MEDIUM</t>
        </is>
      </c>
      <c r="D14" s="27" t="inlineStr">
        <is>
          <t>ask-luca.com contribution margin</t>
        </is>
      </c>
    </row>
    <row r="15">
      <c r="A15" s="27" t="inlineStr">
        <is>
          <t>TikTok Shop referral fee</t>
        </is>
      </c>
      <c r="B15" s="27" t="inlineStr">
        <is>
          <t>6% US flat (some cite 8% apparel)</t>
        </is>
      </c>
      <c r="C15" s="27" t="inlineStr">
        <is>
          <t>LOW — conflicting</t>
        </is>
      </c>
      <c r="D15" s="27" t="inlineStr">
        <is>
          <t>Fit Small Business ; Darkroom ; Dashboardly</t>
        </is>
      </c>
    </row>
    <row r="16">
      <c r="A16" s="27" t="inlineStr">
        <is>
          <t>TikTok fashion affiliate commission</t>
        </is>
      </c>
      <c r="B16" s="27" t="inlineStr">
        <is>
          <t>15% - 18% (US avg 13.02%)</t>
        </is>
      </c>
      <c r="C16" s="27" t="inlineStr">
        <is>
          <t>MEDIUM</t>
        </is>
      </c>
      <c r="D16" s="27" t="inlineStr">
        <is>
          <t>Shortform Nation 2026 data</t>
        </is>
      </c>
    </row>
    <row r="17">
      <c r="A17" s="27" t="inlineStr">
        <is>
          <t>Avg active TikTok Shop seller GMV</t>
        </is>
      </c>
      <c r="B17" s="27" t="inlineStr">
        <is>
          <t>$3,750/month</t>
        </is>
      </c>
      <c r="C17" s="27" t="inlineStr">
        <is>
          <t>MEDIUM</t>
        </is>
      </c>
      <c r="D17" s="27" t="inlineStr">
        <is>
          <t>Grey Journal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2026-08-06T00:59:15Z</dcterms:created>
  <dcterms:modified xsi:type="dcterms:W3CDTF">2026-08-06T01:12:54Z</dcterms:modified>
</cp:coreProperties>
</file>
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60-Day Plan" sheetId="2" state="visible" r:id="rId4"/>
    <sheet name="Hook Bank" sheetId="3" state="visible" r:id="rId5"/>
    <sheet name="Post Log" sheetId="4" state="visible" r:id="rId6"/>
    <sheet name="Format Scorecard" sheetId="5" state="visible" r:id="rId7"/>
    <sheet name="Seeding Tracker"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<sst xmlns="http://schemas.openxmlformats.org/spreadsheetml/2006/main" count="1039" uniqueCount="236">
  <si>
    <t xml:space="preserve">Format R&amp;D Tracker</t>
  </si>
  <si>
    <t xml:space="preserve">Metal Detectors Direct — Instagram growth, months 1–12</t>
  </si>
  <si>
    <t xml:space="preserve">HOW TO USE</t>
  </si>
  <si>
    <t xml:space="preserve">1.</t>
  </si>
  <si>
    <t xml:space="preserve">Log every post in 'Post Log' — one row each. Fill only the BLUE columns; black columns calculate themselves.</t>
  </si>
  <si>
    <t xml:space="preserve">2.</t>
  </si>
  <si>
    <t xml:space="preserve">Get Reach, 3s Retention, Follows, Saves, Shares and Comments from Instagram Insights (free, native).</t>
  </si>
  <si>
    <t xml:space="preserve">3.</t>
  </si>
  <si>
    <t xml:space="preserve">'Format Scorecard' updates automatically and tells you which formats to keep and which to kill.</t>
  </si>
  <si>
    <t xml:space="preserve">4.</t>
  </si>
  <si>
    <t xml:space="preserve">Log creator loans in 'Seeding Tracker'. This is the paid-ads replacement — track it like a budget.</t>
  </si>
  <si>
    <t xml:space="preserve">THE RULES</t>
  </si>
  <si>
    <t xml:space="preserve">Sample size</t>
  </si>
  <si>
    <t xml:space="preserve">5 posts minimum per format before judging. One hit and one flop are both noise.</t>
  </si>
  <si>
    <t xml:space="preserve">Metric that counts</t>
  </si>
  <si>
    <t xml:space="preserve">Follows per 1,000 reached — NOT views. A post can reach a million people and convert nobody.</t>
  </si>
  <si>
    <t xml:space="preserve">Hook check</t>
  </si>
  <si>
    <t xml:space="preserve">If 3s retention is under 50%, the hook failed and the format was never tested. Fix the hook, re-run.</t>
  </si>
  <si>
    <t xml:space="preserve">Kill criterion</t>
  </si>
  <si>
    <t xml:space="preserve">After 5 posts, if a format's follow rate is below a third of your best, retire it.</t>
  </si>
  <si>
    <t xml:space="preserve">Change one thing</t>
  </si>
  <si>
    <t xml:space="preserve">Never vary format, hook style and length at once — you learn nothing about what moved the number.</t>
  </si>
  <si>
    <t xml:space="preserve">COLOUR KEY</t>
  </si>
  <si>
    <t xml:space="preserve">Blue text</t>
  </si>
  <si>
    <t xml:space="preserve">You type here.</t>
  </si>
  <si>
    <t xml:space="preserve">Black text</t>
  </si>
  <si>
    <t xml:space="preserve">Calculated — do not overwrite.</t>
  </si>
  <si>
    <t xml:space="preserve">Pink italic row</t>
  </si>
  <si>
    <t xml:space="preserve">Example row showing expected format. Delete it before you start.</t>
  </si>
  <si>
    <t xml:space="preserve">NOTE</t>
  </si>
  <si>
    <t xml:space="preserve">Thresholds (5 posts, 50% retention, one-third of best) are starting points from the playbook.</t>
  </si>
  <si>
    <t xml:space="preserve">Replace them with your own baselines once the log has real data — they are assumptions, not facts.</t>
  </si>
  <si>
    <t xml:space="preserve">60-Day Posting Plan</t>
  </si>
  <si>
    <t xml:space="preserve">191 original pieces in 60 days, each with a hook ready to shoot. Every piece cross-posts to Instagram Reels, TikTok, YouTube Shorts and Facebook Reels.</t>
  </si>
  <si>
    <t xml:space="preserve">Start date:</t>
  </si>
  <si>
    <t xml:space="preserve">Edit the yellow cell — all 191 dates follow from it.</t>
  </si>
  <si>
    <t xml:space="preserve">Day</t>
  </si>
  <si>
    <t xml:space="preserve">Date</t>
  </si>
  <si>
    <t xml:space="preserve">Slot</t>
  </si>
  <si>
    <t xml:space="preserve">Format</t>
  </si>
  <si>
    <t xml:space="preserve">Hook to use</t>
  </si>
  <si>
    <t xml:space="preserve">Source</t>
  </si>
  <si>
    <t xml:space="preserve">Shoot batch</t>
  </si>
  <si>
    <t xml:space="preserve">Posted?</t>
  </si>
  <si>
    <t xml:space="preserve">Notes</t>
  </si>
  <si>
    <t xml:space="preserve">04 The Dig Reveal</t>
  </si>
  <si>
    <t xml:space="preserve">That tone means it's silver.</t>
  </si>
  <si>
    <t xml:space="preserve">Field</t>
  </si>
  <si>
    <t xml:space="preserve">S01</t>
  </si>
  <si>
    <t xml:space="preserve">10 Detectorist Reacts</t>
  </si>
  <si>
    <t xml:space="preserve">He has no idea what he just dug up.</t>
  </si>
  <si>
    <t xml:space="preserve">Desk</t>
  </si>
  <si>
    <t xml:space="preserve">—</t>
  </si>
  <si>
    <t xml:space="preserve">I almost walked past this.</t>
  </si>
  <si>
    <t xml:space="preserve">01 The Depth Duel</t>
  </si>
  <si>
    <t xml:space="preserve">This $300 detector says there's nothing here.</t>
  </si>
  <si>
    <t xml:space="preserve">Two inches down and it's already shining.</t>
  </si>
  <si>
    <t xml:space="preserve">08 ASMR Restoration</t>
  </si>
  <si>
    <t xml:space="preserve">Sixty years of dirt. Watch.</t>
  </si>
  <si>
    <t xml:space="preserve">That's not a bottle cap.</t>
  </si>
  <si>
    <t xml:space="preserve">You will not believe what's under this.</t>
  </si>
  <si>
    <t xml:space="preserve">09 Read the Tone</t>
  </si>
  <si>
    <t xml:space="preserve">Most people walk away from this sound. Don't.</t>
  </si>
  <si>
    <t xml:space="preserve">She thinks that's junk. It isn't.</t>
  </si>
  <si>
    <t xml:space="preserve">No talking. Just cleaning.</t>
  </si>
  <si>
    <t xml:space="preserve">Same spot, same target. One of these finds it.</t>
  </si>
  <si>
    <t xml:space="preserve">S02</t>
  </si>
  <si>
    <t xml:space="preserve">Give it thirty seconds.</t>
  </si>
  <si>
    <t xml:space="preserve">This might be the find of the year.</t>
  </si>
  <si>
    <t xml:space="preserve">Listen to that. That's a good one.</t>
  </si>
  <si>
    <t xml:space="preserve">This came out of the ground looking like a rock.</t>
  </si>
  <si>
    <t xml:space="preserve">Twelve years detecting and this still got me.</t>
  </si>
  <si>
    <t xml:space="preserve">He nearly threw it back.</t>
  </si>
  <si>
    <t xml:space="preserve">Before and after, no filter.</t>
  </si>
  <si>
    <t xml:space="preserve">The signal was screaming.</t>
  </si>
  <si>
    <t xml:space="preserve">Whatever this is, it's deep.</t>
  </si>
  <si>
    <t xml:space="preserve">S03</t>
  </si>
  <si>
    <t xml:space="preserve">The first shine is the best part.</t>
  </si>
  <si>
    <t xml:space="preserve">I've never dug one this clean.</t>
  </si>
  <si>
    <t xml:space="preserve">Watch his face when he realises.</t>
  </si>
  <si>
    <t xml:space="preserve">Watch the dirt come off this.</t>
  </si>
  <si>
    <t xml:space="preserve">Green to gold in three minutes.</t>
  </si>
  <si>
    <t xml:space="preserve">Bottle cap. Bottle cap. Bottle cap. Oh.</t>
  </si>
  <si>
    <t xml:space="preserve">This ground's been hunted a thousand times.</t>
  </si>
  <si>
    <t xml:space="preserve">06 The Hour Haul</t>
  </si>
  <si>
    <t xml:space="preserve">One hour on this beach. Counter starts now.</t>
  </si>
  <si>
    <t xml:space="preserve">02 Ground Scanner Reveal</t>
  </si>
  <si>
    <t xml:space="preserve">There's something two metres under this field.</t>
  </si>
  <si>
    <t xml:space="preserve">S04</t>
  </si>
  <si>
    <t xml:space="preserve">If you hear this, dig it.</t>
  </si>
  <si>
    <t xml:space="preserve">The screen says metal. The ground says nothing.</t>
  </si>
  <si>
    <t xml:space="preserve">Sixty minutes. Let's see what this sand is hiding.</t>
  </si>
  <si>
    <t xml:space="preserve">12 Detector vs Detector</t>
  </si>
  <si>
    <t xml:space="preserve">Same ground, same target, two very different price tags.</t>
  </si>
  <si>
    <t xml:space="preserve">I buried this at four feet. Let's see which one screams.</t>
  </si>
  <si>
    <t xml:space="preserve">One hour, one detector, no cherry-picking.</t>
  </si>
  <si>
    <t xml:space="preserve">11 Myth Test</t>
  </si>
  <si>
    <t xml:space="preserve">Everyone says you can't detect wet salt sand. Let's find out.</t>
  </si>
  <si>
    <t xml:space="preserve">I've been sent a hundred of these. This one's different.</t>
  </si>
  <si>
    <t xml:space="preserve">This tone costs beginners their best finds.</t>
  </si>
  <si>
    <t xml:space="preserve">That is not what he thinks it is.</t>
  </si>
  <si>
    <t xml:space="preserve">03 You Pick the Spot</t>
  </si>
  <si>
    <t xml:space="preserve">Comment a number. I'm digging whichever square wins.</t>
  </si>
  <si>
    <t xml:space="preserve">S05</t>
  </si>
  <si>
    <t xml:space="preserve">Iron or silver? Listen again.</t>
  </si>
  <si>
    <t xml:space="preserve">Your detector isn't broken. It's just shallow.</t>
  </si>
  <si>
    <t xml:space="preserve">This is what underground actually looks like.</t>
  </si>
  <si>
    <t xml:space="preserve">Everything I find in an hour. Good and bad.</t>
  </si>
  <si>
    <t xml:space="preserve">Before you spend $2,000, watch this.</t>
  </si>
  <si>
    <t xml:space="preserve">Nine squares. You choose, I dig.</t>
  </si>
  <si>
    <t xml:space="preserve">Pick one. I'll be back tomorrow with what's in it.</t>
  </si>
  <si>
    <t xml:space="preserve">S06</t>
  </si>
  <si>
    <t xml:space="preserve">$300 versus $10,000, same patch of dirt.</t>
  </si>
  <si>
    <t xml:space="preserve">The cheap one walked straight over it.</t>
  </si>
  <si>
    <t xml:space="preserve">An hour here after a storm. This should be good.</t>
  </si>
  <si>
    <t xml:space="preserve">Three detectors, one target, only one is honest.</t>
  </si>
  <si>
    <t xml:space="preserve">They told me this ground was dead. Testing that.</t>
  </si>
  <si>
    <t xml:space="preserve">How much can one hour actually pay?</t>
  </si>
  <si>
    <t xml:space="preserve">Half of you said square four. So square four it is.</t>
  </si>
  <si>
    <t xml:space="preserve">07 Gold Hunt</t>
  </si>
  <si>
    <t xml:space="preserve">Third day on this creek. Today it finally paid.</t>
  </si>
  <si>
    <t xml:space="preserve">S07</t>
  </si>
  <si>
    <t xml:space="preserve">Opportunistic — never force it</t>
  </si>
  <si>
    <t xml:space="preserve">That flutter means it's sitting on edge.</t>
  </si>
  <si>
    <t xml:space="preserve">The cheaper one won. I did not expect that.</t>
  </si>
  <si>
    <t xml:space="preserve">One sound, two very different outcomes.</t>
  </si>
  <si>
    <t xml:space="preserve">Learn this tone and you'll double your finds.</t>
  </si>
  <si>
    <t xml:space="preserve">Your detector is telling you something. Here's what.</t>
  </si>
  <si>
    <t xml:space="preserve">That's gold. That's actually gold.</t>
  </si>
  <si>
    <t xml:space="preserve">S08</t>
  </si>
  <si>
    <t xml:space="preserve">You picked it. Now I have to dig it.</t>
  </si>
  <si>
    <t xml:space="preserve">Timer's on. Let's go.</t>
  </si>
  <si>
    <t xml:space="preserve">That red blob is eight feet down.</t>
  </si>
  <si>
    <t xml:space="preserve">Which one would you actually buy?</t>
  </si>
  <si>
    <t xml:space="preserve">Most detectorists never see this screen.</t>
  </si>
  <si>
    <t xml:space="preserve">Does coil size actually matter? Real test.</t>
  </si>
  <si>
    <t xml:space="preserve">05 Ring Recovery</t>
  </si>
  <si>
    <t xml:space="preserve">She lost it in this lake eleven years ago.</t>
  </si>
  <si>
    <t xml:space="preserve">If your detector goes quiet here, it's lying to you.</t>
  </si>
  <si>
    <t xml:space="preserve">S09</t>
  </si>
  <si>
    <t xml:space="preserve">Last time you chose wrong. Try again.</t>
  </si>
  <si>
    <t xml:space="preserve">The rain myth, settled today.</t>
  </si>
  <si>
    <t xml:space="preserve">Everyone said this ground was worked out.</t>
  </si>
  <si>
    <t xml:space="preserve">The machine drew this before I touched a shovel.</t>
  </si>
  <si>
    <t xml:space="preserve">Scan first, dig second. Here's why.</t>
  </si>
  <si>
    <t xml:space="preserve">The pan doesn't lie.</t>
  </si>
  <si>
    <t xml:space="preserve">Grid's marked. Your move.</t>
  </si>
  <si>
    <t xml:space="preserve">He proposed with it. Then the tide took it.</t>
  </si>
  <si>
    <t xml:space="preserve">S10</t>
  </si>
  <si>
    <t xml:space="preserve">This is why beginners quit. Watch.</t>
  </si>
  <si>
    <t xml:space="preserve">Forty minutes of searching for something this small.</t>
  </si>
  <si>
    <t xml:space="preserve">Identical conditions, honest result.</t>
  </si>
  <si>
    <t xml:space="preserve">Six hours for this, and worth every one.</t>
  </si>
  <si>
    <t xml:space="preserve">I tested both so you don't have to.</t>
  </si>
  <si>
    <t xml:space="preserve">Something big is under here, and it isn't a pipe.</t>
  </si>
  <si>
    <t xml:space="preserve">Most comments wins. I dig at dawn.</t>
  </si>
  <si>
    <t xml:space="preserve">Everyone's detector missed this.</t>
  </si>
  <si>
    <t xml:space="preserve">I scanned before I dug. Here's what it showed.</t>
  </si>
  <si>
    <t xml:space="preserve">S11</t>
  </si>
  <si>
    <t xml:space="preserve">Everybody repeats this. Nobody's tested it.</t>
  </si>
  <si>
    <t xml:space="preserve">That colour in the scoop. You know the one.</t>
  </si>
  <si>
    <t xml:space="preserve">If this is what I think it is...</t>
  </si>
  <si>
    <t xml:space="preserve">She'd already given up on it.</t>
  </si>
  <si>
    <t xml:space="preserve">S12</t>
  </si>
  <si>
    <t xml:space="preserve">I hope I'm wrong about this one.</t>
  </si>
  <si>
    <t xml:space="preserve">The spec sheet said one thing. The dirt said another.</t>
  </si>
  <si>
    <t xml:space="preserve">Let's find out if the scanner was right.</t>
  </si>
  <si>
    <t xml:space="preserve">Can it really punch through that? Honestly.</t>
  </si>
  <si>
    <t xml:space="preserve">This is the call every detectorist waits for.</t>
  </si>
  <si>
    <t xml:space="preserve">COVERAGE CHECK</t>
  </si>
  <si>
    <t xml:space="preserve">Planned</t>
  </si>
  <si>
    <t xml:space="preserve">Meets 5-sample minimum?</t>
  </si>
  <si>
    <t xml:space="preserve">Total pieces</t>
  </si>
  <si>
    <t xml:space="preserve">Field shoot days needed</t>
  </si>
  <si>
    <t xml:space="preserve">Assumes ~10 usable pieces per field day — adjust to your real yield.</t>
  </si>
  <si>
    <t xml:space="preserve">Hook Bank</t>
  </si>
  <si>
    <t xml:space="preserve">The first three seconds decide reach. With no ad spend, the hook is the only reach lever you have. Add your own as you learn what lands — the plan cycles through these.</t>
  </si>
  <si>
    <t xml:space="preserve">#</t>
  </si>
  <si>
    <t xml:space="preserve">Hook</t>
  </si>
  <si>
    <t xml:space="preserve">Twenty years married. Lost it in one afternoon.</t>
  </si>
  <si>
    <t xml:space="preserve">Post Log</t>
  </si>
  <si>
    <t xml:space="preserve">One row per post. Blue = you fill in. Black = calculated.</t>
  </si>
  <si>
    <t xml:space="preserve">Hook used</t>
  </si>
  <si>
    <t xml:space="preserve">Len (s)</t>
  </si>
  <si>
    <t xml:space="preserve">Platform</t>
  </si>
  <si>
    <t xml:space="preserve">Reach</t>
  </si>
  <si>
    <t xml:space="preserve">3s Retention</t>
  </si>
  <si>
    <t xml:space="preserve">Follows</t>
  </si>
  <si>
    <t xml:space="preserve">Saves</t>
  </si>
  <si>
    <t xml:space="preserve">Shares</t>
  </si>
  <si>
    <t xml:space="preserve">Comments</t>
  </si>
  <si>
    <t xml:space="preserve">Follows /1k</t>
  </si>
  <si>
    <t xml:space="preserve">Saves /1k</t>
  </si>
  <si>
    <t xml:space="preserve">Hook verdict</t>
  </si>
  <si>
    <t xml:space="preserve">2026-09-01</t>
  </si>
  <si>
    <t xml:space="preserve">Instagram</t>
  </si>
  <si>
    <t xml:space="preserve">Format Scorecard</t>
  </si>
  <si>
    <t xml:space="preserve">Updates automatically from Post Log. Judge each tier on its own job.</t>
  </si>
  <si>
    <t xml:space="preserve">Tier</t>
  </si>
  <si>
    <t xml:space="preserve">Posts</t>
  </si>
  <si>
    <t xml:space="preserve">Total reach</t>
  </si>
  <si>
    <t xml:space="preserve">Verdict</t>
  </si>
  <si>
    <t xml:space="preserve">A</t>
  </si>
  <si>
    <t xml:space="preserve">B</t>
  </si>
  <si>
    <t xml:space="preserve">C</t>
  </si>
  <si>
    <t xml:space="preserve">D</t>
  </si>
  <si>
    <t xml:space="preserve">Best follow rate</t>
  </si>
  <si>
    <t xml:space="preserve">Kill threshold = one third of this. Assumption from the playbook — replace once you have real baselines.</t>
  </si>
  <si>
    <t xml:space="preserve">Judge each tier on its own job:</t>
  </si>
  <si>
    <t xml:space="preserve">A · Signature</t>
  </si>
  <si>
    <t xml:space="preserve">Follows per 1k. Your growth engine — should post your best follow rate.</t>
  </si>
  <si>
    <t xml:space="preserve">B · Core</t>
  </si>
  <si>
    <t xml:space="preserve">Consistency and volume. Baseline cadence, keeps the account alive daily.</t>
  </si>
  <si>
    <t xml:space="preserve">C · Retention</t>
  </si>
  <si>
    <t xml:space="preserve">Saves per 1k. Ranking support and all-weather output.</t>
  </si>
  <si>
    <t xml:space="preserve">D · Reach</t>
  </si>
  <si>
    <t xml:space="preserve">Comments, and enquiries for #12. Distribution signals and relationships.</t>
  </si>
  <si>
    <t xml:space="preserve">Seeding Tracker</t>
  </si>
  <si>
    <t xml:space="preserve">Equipment loans replace the ad budget — track them like spend. Target 5K–100K followers. Ask for a COLLAB post, not a mention.</t>
  </si>
  <si>
    <t xml:space="preserve">Creator</t>
  </si>
  <si>
    <t xml:space="preserve">Handle</t>
  </si>
  <si>
    <t xml:space="preserve">Followers</t>
  </si>
  <si>
    <t xml:space="preserve">Gear lent</t>
  </si>
  <si>
    <t xml:space="preserve">Date out</t>
  </si>
  <si>
    <t xml:space="preserve">Status</t>
  </si>
  <si>
    <t xml:space="preserve">Collab posted?</t>
  </si>
  <si>
    <t xml:space="preserve">Reach delivered</t>
  </si>
  <si>
    <t xml:space="preserve">Follows gained</t>
  </si>
  <si>
    <t xml:space="preserve">Enquiries</t>
  </si>
  <si>
    <t xml:space="preserve">Disclosure OK?</t>
  </si>
  <si>
    <t xml:space="preserve">Jane Doe</t>
  </si>
  <si>
    <t xml:space="preserve">@example_detects</t>
  </si>
  <si>
    <t xml:space="preserve">AlgoForce entry unit (loan)</t>
  </si>
  <si>
    <t xml:space="preserve">2026-10-05</t>
  </si>
  <si>
    <t xml:space="preserve">Delivered</t>
  </si>
  <si>
    <t xml:space="preserve">Yes</t>
  </si>
</sst>
</file>

<file path=xl/styles.xml><?xml version="1.0" encoding="utf-8"?>
<styleSheet xmlns="http://schemas.openxmlformats.org/spreadsheetml/2006/main">
  <numFmts count="7">
    <numFmt numFmtId="164" formatCode="General"/>
    <numFmt numFmtId="165" formatCode="ddd\ dd\ mmm\ yyyy"/>
    <numFmt numFmtId="166" formatCode="ddd\ dd\ mmm"/>
    <numFmt numFmtId="167" formatCode="General"/>
    <numFmt numFmtId="168" formatCode="#,##0"/>
    <numFmt numFmtId="169" formatCode="0.0%"/>
    <numFmt numFmtId="170" formatCode="0.0"/>
  </numFmts>
  <fonts count="15">
    <font>
      <sz val="11"/>
      <color theme="1"/>
      <name val="Calibri"/>
      <family val="2"/>
      <charset val="1"/>
    </font>
    <font>
      <sz val="10"/>
      <name val="Arial"/>
      <family val="0"/>
    </font>
    <font>
      <sz val="10"/>
      <name val="Arial"/>
      <family val="0"/>
    </font>
    <font>
      <sz val="10"/>
      <name val="Arial"/>
      <family val="0"/>
    </font>
    <font>
      <b val="true"/>
      <sz val="15"/>
      <color rgb="FF1A1814"/>
      <name val="Arial"/>
      <family val="0"/>
      <charset val="1"/>
    </font>
    <font>
      <i val="true"/>
      <sz val="10"/>
      <color rgb="FF75716A"/>
      <name val="Arial"/>
      <family val="0"/>
      <charset val="1"/>
    </font>
    <font>
      <sz val="10"/>
      <name val="Arial"/>
      <family val="0"/>
      <charset val="1"/>
    </font>
    <font>
      <b val="true"/>
      <sz val="11"/>
      <color rgb="FF9A6B18"/>
      <name val="Arial"/>
      <family val="0"/>
      <charset val="1"/>
    </font>
    <font>
      <b val="true"/>
      <sz val="10"/>
      <name val="Arial"/>
      <family val="0"/>
      <charset val="1"/>
    </font>
    <font>
      <sz val="10"/>
      <color rgb="FF0000FF"/>
      <name val="Arial"/>
      <family val="0"/>
      <charset val="1"/>
    </font>
    <font>
      <i val="true"/>
      <sz val="10"/>
      <color rgb="FF9B4326"/>
      <name val="Arial"/>
      <family val="0"/>
      <charset val="1"/>
    </font>
    <font>
      <b val="true"/>
      <sz val="15"/>
      <name val="Arial"/>
      <family val="0"/>
      <charset val="1"/>
    </font>
    <font>
      <b val="true"/>
      <sz val="9"/>
      <color rgb="FFFFFFFF"/>
      <name val="Arial"/>
      <family val="0"/>
      <charset val="1"/>
    </font>
    <font>
      <sz val="10"/>
      <color rgb="FF1A1814"/>
      <name val="Arial"/>
      <family val="0"/>
      <charset val="1"/>
    </font>
    <font>
      <sz val="10"/>
      <color rgb="FF000000"/>
      <name val="Arial"/>
      <family val="0"/>
      <charset val="1"/>
    </font>
  </fonts>
  <fills count="7">
    <fill>
      <patternFill patternType="none"/>
    </fill>
    <fill>
      <patternFill patternType="gray125"/>
    </fill>
    <fill>
      <patternFill patternType="solid">
        <fgColor rgb="FFFFFF00"/>
        <bgColor rgb="FFFFFF00"/>
      </patternFill>
    </fill>
    <fill>
      <patternFill patternType="solid">
        <fgColor rgb="FF4A4740"/>
        <bgColor rgb="FF333399"/>
      </patternFill>
    </fill>
    <fill>
      <patternFill patternType="solid">
        <fgColor rgb="FFEDF3EF"/>
        <bgColor rgb="FFF6F1E6"/>
      </patternFill>
    </fill>
    <fill>
      <patternFill patternType="solid">
        <fgColor rgb="FFF6F1E6"/>
        <bgColor rgb="FFEDF3EF"/>
      </patternFill>
    </fill>
    <fill>
      <patternFill patternType="solid">
        <fgColor rgb="FFF2E8E2"/>
        <bgColor rgb="FFF6F1E6"/>
      </patternFill>
    </fill>
  </fills>
  <borders count="2">
    <border diagonalUp="false" diagonalDown="false">
      <left/>
      <right/>
      <top/>
      <bottom/>
      <diagonal/>
    </border>
    <border diagonalUp="false" diagonalDown="false">
      <left style="thin">
        <color rgb="FFCFCEC4"/>
      </left>
      <right style="thin">
        <color rgb="FFCFCEC4"/>
      </right>
      <top style="thin">
        <color rgb="FFCFCEC4"/>
      </top>
      <bottom style="thin">
        <color rgb="FFCFCEC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9" fillId="2" borderId="1"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bottom" textRotation="0" wrapText="false" indent="0" shrinkToFit="false"/>
      <protection locked="true" hidden="false"/>
    </xf>
    <xf numFmtId="166" fontId="6" fillId="4"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13" fillId="4" borderId="1" xfId="0" applyFont="true" applyBorder="true" applyAlignment="true" applyProtection="false">
      <alignment horizontal="general" vertical="center" textRotation="0" wrapText="true" indent="0" shrinkToFit="false"/>
      <protection locked="true" hidden="false"/>
    </xf>
    <xf numFmtId="164" fontId="9" fillId="4" borderId="1" xfId="0" applyFont="true" applyBorder="true" applyAlignment="true" applyProtection="false">
      <alignment horizontal="center" vertical="bottom" textRotation="0" wrapText="false" indent="0" shrinkToFit="false"/>
      <protection locked="true" hidden="false"/>
    </xf>
    <xf numFmtId="164" fontId="6" fillId="5" borderId="1" xfId="0" applyFont="true" applyBorder="true" applyAlignment="true" applyProtection="false">
      <alignment horizontal="center" vertical="bottom" textRotation="0" wrapText="false" indent="0" shrinkToFit="false"/>
      <protection locked="true" hidden="false"/>
    </xf>
    <xf numFmtId="166" fontId="6" fillId="5"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13" fillId="5" borderId="1" xfId="0" applyFont="true" applyBorder="true" applyAlignment="true" applyProtection="false">
      <alignment horizontal="general" vertical="center" textRotation="0" wrapText="true" indent="0" shrinkToFit="false"/>
      <protection locked="true" hidden="false"/>
    </xf>
    <xf numFmtId="164" fontId="9" fillId="5" borderId="1" xfId="0" applyFont="true" applyBorder="true" applyAlignment="true" applyProtection="false">
      <alignment horizontal="center"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7" fontId="8" fillId="2" borderId="1" xfId="0" applyFont="true" applyBorder="true" applyAlignment="true" applyProtection="false">
      <alignment horizontal="center" vertical="bottom" textRotation="0" wrapText="false" indent="0" shrinkToFit="false"/>
      <protection locked="true" hidden="false"/>
    </xf>
    <xf numFmtId="164" fontId="12" fillId="3"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0" fillId="6" borderId="1" xfId="0" applyFont="true" applyBorder="true" applyAlignment="false" applyProtection="false">
      <alignment horizontal="general" vertical="bottom" textRotation="0" wrapText="false" indent="0" shrinkToFit="false"/>
      <protection locked="true" hidden="false"/>
    </xf>
    <xf numFmtId="168" fontId="10" fillId="6" borderId="1" xfId="0" applyFont="true" applyBorder="true" applyAlignment="false" applyProtection="false">
      <alignment horizontal="general" vertical="bottom" textRotation="0" wrapText="false" indent="0" shrinkToFit="false"/>
      <protection locked="true" hidden="false"/>
    </xf>
    <xf numFmtId="169" fontId="10" fillId="6" borderId="1" xfId="0" applyFont="true" applyBorder="true" applyAlignment="false" applyProtection="false">
      <alignment horizontal="general" vertical="bottom" textRotation="0" wrapText="false" indent="0" shrinkToFit="false"/>
      <protection locked="true" hidden="false"/>
    </xf>
    <xf numFmtId="170" fontId="14" fillId="0" borderId="1" xfId="0" applyFont="true" applyBorder="true" applyAlignment="true" applyProtection="false">
      <alignment horizontal="center" vertical="bottom" textRotation="0" wrapText="false" indent="0" shrinkToFit="false"/>
      <protection locked="true" hidden="false"/>
    </xf>
    <xf numFmtId="164" fontId="14" fillId="0"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8" fontId="14" fillId="0" borderId="1" xfId="0" applyFont="true" applyBorder="true" applyAlignment="true" applyProtection="false">
      <alignment horizontal="center" vertical="bottom" textRotation="0" wrapText="false" indent="0" shrinkToFit="false"/>
      <protection locked="true" hidden="false"/>
    </xf>
    <xf numFmtId="170" fontId="8" fillId="2"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9A6B18"/>
      <rgbColor rgb="FF800080"/>
      <rgbColor rgb="FF008080"/>
      <rgbColor rgb="FFCFCEC4"/>
      <rgbColor rgb="FF75716A"/>
      <rgbColor rgb="FF9999FF"/>
      <rgbColor rgb="FF993366"/>
      <rgbColor rgb="FFF6F1E6"/>
      <rgbColor rgb="FFEDF3E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F2E8E2"/>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1A1814"/>
      <rgbColor rgb="FF9B4326"/>
      <rgbColor rgb="FF993366"/>
      <rgbColor rgb="FF333399"/>
      <rgbColor rgb="FF4A47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104"/>
  </cols>
  <sheetData>
    <row r="1" customFormat="false" ht="18.5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c r="B4" s="4"/>
    </row>
    <row r="5" customFormat="false" ht="15" hidden="false" customHeight="false" outlineLevel="0" collapsed="false">
      <c r="A5" s="5" t="s">
        <v>2</v>
      </c>
      <c r="B5" s="4"/>
    </row>
    <row r="6" customFormat="false" ht="15" hidden="false" customHeight="false" outlineLevel="0" collapsed="false">
      <c r="A6" s="3" t="s">
        <v>3</v>
      </c>
      <c r="B6" s="4" t="s">
        <v>4</v>
      </c>
    </row>
    <row r="7" customFormat="false" ht="15" hidden="false" customHeight="false" outlineLevel="0" collapsed="false">
      <c r="A7" s="3" t="s">
        <v>5</v>
      </c>
      <c r="B7" s="4" t="s">
        <v>6</v>
      </c>
    </row>
    <row r="8" customFormat="false" ht="15" hidden="false" customHeight="false" outlineLevel="0" collapsed="false">
      <c r="A8" s="3" t="s">
        <v>7</v>
      </c>
      <c r="B8" s="4" t="s">
        <v>8</v>
      </c>
    </row>
    <row r="9" customFormat="false" ht="15" hidden="false" customHeight="false" outlineLevel="0" collapsed="false">
      <c r="A9" s="3" t="s">
        <v>9</v>
      </c>
      <c r="B9" s="4" t="s">
        <v>10</v>
      </c>
    </row>
    <row r="10" customFormat="false" ht="15" hidden="false" customHeight="false" outlineLevel="0" collapsed="false">
      <c r="A10" s="3"/>
      <c r="B10" s="4"/>
    </row>
    <row r="11" customFormat="false" ht="15" hidden="false" customHeight="false" outlineLevel="0" collapsed="false">
      <c r="A11" s="5" t="s">
        <v>11</v>
      </c>
      <c r="B11" s="4"/>
    </row>
    <row r="12" customFormat="false" ht="15" hidden="false" customHeight="false" outlineLevel="0" collapsed="false">
      <c r="A12" s="6" t="s">
        <v>12</v>
      </c>
      <c r="B12" s="4" t="s">
        <v>13</v>
      </c>
    </row>
    <row r="13" customFormat="false" ht="15" hidden="false" customHeight="false" outlineLevel="0" collapsed="false">
      <c r="A13" s="6" t="s">
        <v>14</v>
      </c>
      <c r="B13" s="4" t="s">
        <v>15</v>
      </c>
    </row>
    <row r="14" customFormat="false" ht="15" hidden="false" customHeight="false" outlineLevel="0" collapsed="false">
      <c r="A14" s="6" t="s">
        <v>16</v>
      </c>
      <c r="B14" s="4" t="s">
        <v>17</v>
      </c>
    </row>
    <row r="15" customFormat="false" ht="15" hidden="false" customHeight="false" outlineLevel="0" collapsed="false">
      <c r="A15" s="6" t="s">
        <v>18</v>
      </c>
      <c r="B15" s="4" t="s">
        <v>19</v>
      </c>
    </row>
    <row r="16" customFormat="false" ht="15" hidden="false" customHeight="false" outlineLevel="0" collapsed="false">
      <c r="A16" s="6" t="s">
        <v>20</v>
      </c>
      <c r="B16" s="4" t="s">
        <v>21</v>
      </c>
    </row>
    <row r="17" customFormat="false" ht="15" hidden="false" customHeight="false" outlineLevel="0" collapsed="false">
      <c r="A17" s="3"/>
      <c r="B17" s="4"/>
    </row>
    <row r="18" customFormat="false" ht="15" hidden="false" customHeight="false" outlineLevel="0" collapsed="false">
      <c r="A18" s="5" t="s">
        <v>22</v>
      </c>
      <c r="B18" s="4"/>
    </row>
    <row r="19" customFormat="false" ht="15" hidden="false" customHeight="false" outlineLevel="0" collapsed="false">
      <c r="A19" s="6" t="s">
        <v>23</v>
      </c>
      <c r="B19" s="4" t="s">
        <v>24</v>
      </c>
    </row>
    <row r="20" customFormat="false" ht="15" hidden="false" customHeight="false" outlineLevel="0" collapsed="false">
      <c r="A20" s="6" t="s">
        <v>25</v>
      </c>
      <c r="B20" s="4" t="s">
        <v>26</v>
      </c>
    </row>
    <row r="21" customFormat="false" ht="15" hidden="false" customHeight="false" outlineLevel="0" collapsed="false">
      <c r="A21" s="6" t="s">
        <v>27</v>
      </c>
      <c r="B21" s="4" t="s">
        <v>28</v>
      </c>
    </row>
    <row r="22" customFormat="false" ht="15" hidden="false" customHeight="false" outlineLevel="0" collapsed="false">
      <c r="A22" s="3"/>
      <c r="B22" s="7"/>
    </row>
    <row r="23" customFormat="false" ht="15" hidden="false" customHeight="false" outlineLevel="0" collapsed="false">
      <c r="A23" s="5" t="s">
        <v>29</v>
      </c>
      <c r="B23" s="4" t="s">
        <v>30</v>
      </c>
    </row>
    <row r="24" customFormat="false" ht="15" hidden="false" customHeight="false" outlineLevel="0" collapsed="false">
      <c r="A24" s="6"/>
      <c r="B24" s="8"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3"/>
    <col collapsed="false" customWidth="true" hidden="false" outlineLevel="0" max="4" min="3" style="0" width="26"/>
    <col collapsed="false" customWidth="true" hidden="false" outlineLevel="0" max="5" min="5" style="0" width="50"/>
    <col collapsed="false" customWidth="true" hidden="false" outlineLevel="0" max="6" min="6" style="0" width="9"/>
    <col collapsed="false" customWidth="true" hidden="false" outlineLevel="0" max="7" min="7" style="0" width="12"/>
    <col collapsed="false" customWidth="true" hidden="false" outlineLevel="0" max="8" min="8" style="0" width="9"/>
    <col collapsed="false" customWidth="true" hidden="false" outlineLevel="0" max="9" min="9" style="0" width="30"/>
  </cols>
  <sheetData>
    <row r="1" customFormat="false" ht="18.55" hidden="false" customHeight="false" outlineLevel="0" collapsed="false">
      <c r="A1" s="9" t="s">
        <v>32</v>
      </c>
    </row>
    <row r="2" customFormat="false" ht="15" hidden="false" customHeight="false" outlineLevel="0" collapsed="false">
      <c r="A2" s="2" t="s">
        <v>33</v>
      </c>
    </row>
    <row r="3" customFormat="false" ht="15" hidden="false" customHeight="false" outlineLevel="0" collapsed="false">
      <c r="A3" s="6" t="s">
        <v>34</v>
      </c>
      <c r="B3" s="10" t="n">
        <v>46244</v>
      </c>
      <c r="D3" s="2" t="s">
        <v>35</v>
      </c>
    </row>
    <row r="5" customFormat="false" ht="21.75" hidden="false" customHeight="true" outlineLevel="0" collapsed="false">
      <c r="A5" s="11" t="s">
        <v>36</v>
      </c>
      <c r="B5" s="11" t="s">
        <v>37</v>
      </c>
      <c r="C5" s="11" t="s">
        <v>38</v>
      </c>
      <c r="D5" s="11" t="s">
        <v>39</v>
      </c>
      <c r="E5" s="11" t="s">
        <v>40</v>
      </c>
      <c r="F5" s="11" t="s">
        <v>41</v>
      </c>
      <c r="G5" s="11" t="s">
        <v>42</v>
      </c>
      <c r="H5" s="11" t="s">
        <v>43</v>
      </c>
      <c r="I5" s="11" t="s">
        <v>44</v>
      </c>
    </row>
    <row r="6" customFormat="false" ht="15" hidden="false" customHeight="false" outlineLevel="0" collapsed="false">
      <c r="A6" s="12" t="n">
        <v>1</v>
      </c>
      <c r="B6" s="13" t="n">
        <f aca="false">IF($B$3="","",$B$3+A6-1)</f>
        <v>46244</v>
      </c>
      <c r="C6" s="12" t="n">
        <v>1</v>
      </c>
      <c r="D6" s="14" t="s">
        <v>45</v>
      </c>
      <c r="E6" s="15" t="s">
        <v>46</v>
      </c>
      <c r="F6" s="12" t="s">
        <v>47</v>
      </c>
      <c r="G6" s="12" t="s">
        <v>48</v>
      </c>
      <c r="H6" s="16"/>
      <c r="I6" s="14"/>
    </row>
    <row r="7" customFormat="false" ht="15" hidden="false" customHeight="false" outlineLevel="0" collapsed="false">
      <c r="A7" s="17" t="n">
        <v>1</v>
      </c>
      <c r="B7" s="18" t="n">
        <f aca="false">IF($B$3="","",$B$3+A7-1)</f>
        <v>46244</v>
      </c>
      <c r="C7" s="17" t="n">
        <v>2</v>
      </c>
      <c r="D7" s="19" t="s">
        <v>49</v>
      </c>
      <c r="E7" s="20" t="s">
        <v>50</v>
      </c>
      <c r="F7" s="17" t="s">
        <v>51</v>
      </c>
      <c r="G7" s="17" t="s">
        <v>52</v>
      </c>
      <c r="H7" s="21"/>
      <c r="I7" s="19"/>
    </row>
    <row r="8" customFormat="false" ht="15" hidden="false" customHeight="false" outlineLevel="0" collapsed="false">
      <c r="A8" s="12" t="n">
        <v>2</v>
      </c>
      <c r="B8" s="13" t="n">
        <f aca="false">IF($B$3="","",$B$3+A8-1)</f>
        <v>46245</v>
      </c>
      <c r="C8" s="12" t="n">
        <v>1</v>
      </c>
      <c r="D8" s="14" t="s">
        <v>45</v>
      </c>
      <c r="E8" s="15" t="s">
        <v>53</v>
      </c>
      <c r="F8" s="12" t="s">
        <v>47</v>
      </c>
      <c r="G8" s="12" t="s">
        <v>48</v>
      </c>
      <c r="H8" s="16"/>
      <c r="I8" s="14"/>
    </row>
    <row r="9" customFormat="false" ht="15" hidden="false" customHeight="false" outlineLevel="0" collapsed="false">
      <c r="A9" s="12" t="n">
        <v>2</v>
      </c>
      <c r="B9" s="13" t="n">
        <f aca="false">IF($B$3="","",$B$3+A9-1)</f>
        <v>46245</v>
      </c>
      <c r="C9" s="12" t="n">
        <v>2</v>
      </c>
      <c r="D9" s="14" t="s">
        <v>54</v>
      </c>
      <c r="E9" s="15" t="s">
        <v>55</v>
      </c>
      <c r="F9" s="12" t="s">
        <v>47</v>
      </c>
      <c r="G9" s="12" t="s">
        <v>48</v>
      </c>
      <c r="H9" s="16"/>
      <c r="I9" s="14"/>
    </row>
    <row r="10" customFormat="false" ht="15" hidden="false" customHeight="false" outlineLevel="0" collapsed="false">
      <c r="A10" s="12" t="n">
        <v>3</v>
      </c>
      <c r="B10" s="13" t="n">
        <f aca="false">IF($B$3="","",$B$3+A10-1)</f>
        <v>46246</v>
      </c>
      <c r="C10" s="12" t="n">
        <v>1</v>
      </c>
      <c r="D10" s="14" t="s">
        <v>45</v>
      </c>
      <c r="E10" s="15" t="s">
        <v>56</v>
      </c>
      <c r="F10" s="12" t="s">
        <v>47</v>
      </c>
      <c r="G10" s="12" t="s">
        <v>48</v>
      </c>
      <c r="H10" s="16"/>
      <c r="I10" s="14"/>
    </row>
    <row r="11" customFormat="false" ht="15" hidden="false" customHeight="false" outlineLevel="0" collapsed="false">
      <c r="A11" s="17" t="n">
        <v>3</v>
      </c>
      <c r="B11" s="18" t="n">
        <f aca="false">IF($B$3="","",$B$3+A11-1)</f>
        <v>46246</v>
      </c>
      <c r="C11" s="17" t="n">
        <v>2</v>
      </c>
      <c r="D11" s="19" t="s">
        <v>57</v>
      </c>
      <c r="E11" s="20" t="s">
        <v>58</v>
      </c>
      <c r="F11" s="17" t="s">
        <v>51</v>
      </c>
      <c r="G11" s="17" t="s">
        <v>52</v>
      </c>
      <c r="H11" s="21"/>
      <c r="I11" s="19"/>
    </row>
    <row r="12" customFormat="false" ht="15" hidden="false" customHeight="false" outlineLevel="0" collapsed="false">
      <c r="A12" s="12" t="n">
        <v>4</v>
      </c>
      <c r="B12" s="13" t="n">
        <f aca="false">IF($B$3="","",$B$3+A12-1)</f>
        <v>46247</v>
      </c>
      <c r="C12" s="12" t="n">
        <v>1</v>
      </c>
      <c r="D12" s="14" t="s">
        <v>45</v>
      </c>
      <c r="E12" s="15" t="s">
        <v>59</v>
      </c>
      <c r="F12" s="12" t="s">
        <v>47</v>
      </c>
      <c r="G12" s="12" t="s">
        <v>48</v>
      </c>
      <c r="H12" s="16"/>
      <c r="I12" s="14"/>
    </row>
    <row r="13" customFormat="false" ht="15" hidden="false" customHeight="false" outlineLevel="0" collapsed="false">
      <c r="A13" s="17" t="n">
        <v>4</v>
      </c>
      <c r="B13" s="18" t="n">
        <f aca="false">IF($B$3="","",$B$3+A13-1)</f>
        <v>46247</v>
      </c>
      <c r="C13" s="17" t="n">
        <v>2</v>
      </c>
      <c r="D13" s="19" t="s">
        <v>57</v>
      </c>
      <c r="E13" s="20" t="s">
        <v>60</v>
      </c>
      <c r="F13" s="17" t="s">
        <v>51</v>
      </c>
      <c r="G13" s="17" t="s">
        <v>52</v>
      </c>
      <c r="H13" s="21"/>
      <c r="I13" s="19"/>
    </row>
    <row r="14" customFormat="false" ht="15" hidden="false" customHeight="false" outlineLevel="0" collapsed="false">
      <c r="A14" s="12" t="n">
        <v>5</v>
      </c>
      <c r="B14" s="13" t="n">
        <f aca="false">IF($B$3="","",$B$3+A14-1)</f>
        <v>46248</v>
      </c>
      <c r="C14" s="12" t="n">
        <v>1</v>
      </c>
      <c r="D14" s="14" t="s">
        <v>61</v>
      </c>
      <c r="E14" s="15" t="s">
        <v>62</v>
      </c>
      <c r="F14" s="12" t="s">
        <v>47</v>
      </c>
      <c r="G14" s="12" t="s">
        <v>48</v>
      </c>
      <c r="H14" s="16"/>
      <c r="I14" s="14"/>
    </row>
    <row r="15" customFormat="false" ht="15" hidden="false" customHeight="false" outlineLevel="0" collapsed="false">
      <c r="A15" s="17" t="n">
        <v>5</v>
      </c>
      <c r="B15" s="18" t="n">
        <f aca="false">IF($B$3="","",$B$3+A15-1)</f>
        <v>46248</v>
      </c>
      <c r="C15" s="17" t="n">
        <v>2</v>
      </c>
      <c r="D15" s="19" t="s">
        <v>49</v>
      </c>
      <c r="E15" s="20" t="s">
        <v>63</v>
      </c>
      <c r="F15" s="17" t="s">
        <v>51</v>
      </c>
      <c r="G15" s="17" t="s">
        <v>52</v>
      </c>
      <c r="H15" s="21"/>
      <c r="I15" s="19"/>
    </row>
    <row r="16" customFormat="false" ht="15" hidden="false" customHeight="false" outlineLevel="0" collapsed="false">
      <c r="A16" s="17" t="n">
        <v>6</v>
      </c>
      <c r="B16" s="18" t="n">
        <f aca="false">IF($B$3="","",$B$3+A16-1)</f>
        <v>46249</v>
      </c>
      <c r="C16" s="17" t="n">
        <v>1</v>
      </c>
      <c r="D16" s="19" t="s">
        <v>57</v>
      </c>
      <c r="E16" s="20" t="s">
        <v>64</v>
      </c>
      <c r="F16" s="17" t="s">
        <v>51</v>
      </c>
      <c r="G16" s="17" t="s">
        <v>52</v>
      </c>
      <c r="H16" s="21"/>
      <c r="I16" s="19"/>
    </row>
    <row r="17" customFormat="false" ht="15" hidden="false" customHeight="false" outlineLevel="0" collapsed="false">
      <c r="A17" s="12" t="n">
        <v>6</v>
      </c>
      <c r="B17" s="13" t="n">
        <f aca="false">IF($B$3="","",$B$3+A17-1)</f>
        <v>46249</v>
      </c>
      <c r="C17" s="12" t="n">
        <v>2</v>
      </c>
      <c r="D17" s="14" t="s">
        <v>54</v>
      </c>
      <c r="E17" s="15" t="s">
        <v>65</v>
      </c>
      <c r="F17" s="12" t="s">
        <v>47</v>
      </c>
      <c r="G17" s="12" t="s">
        <v>66</v>
      </c>
      <c r="H17" s="16"/>
      <c r="I17" s="14"/>
    </row>
    <row r="18" customFormat="false" ht="15" hidden="false" customHeight="false" outlineLevel="0" collapsed="false">
      <c r="A18" s="17" t="n">
        <v>7</v>
      </c>
      <c r="B18" s="18" t="n">
        <f aca="false">IF($B$3="","",$B$3+A18-1)</f>
        <v>46250</v>
      </c>
      <c r="C18" s="17" t="n">
        <v>1</v>
      </c>
      <c r="D18" s="19" t="s">
        <v>57</v>
      </c>
      <c r="E18" s="20" t="s">
        <v>67</v>
      </c>
      <c r="F18" s="17" t="s">
        <v>51</v>
      </c>
      <c r="G18" s="17" t="s">
        <v>52</v>
      </c>
      <c r="H18" s="21"/>
      <c r="I18" s="19"/>
    </row>
    <row r="19" customFormat="false" ht="15" hidden="false" customHeight="false" outlineLevel="0" collapsed="false">
      <c r="A19" s="17" t="n">
        <v>7</v>
      </c>
      <c r="B19" s="18" t="n">
        <f aca="false">IF($B$3="","",$B$3+A19-1)</f>
        <v>46250</v>
      </c>
      <c r="C19" s="17" t="n">
        <v>2</v>
      </c>
      <c r="D19" s="19" t="s">
        <v>49</v>
      </c>
      <c r="E19" s="20" t="s">
        <v>68</v>
      </c>
      <c r="F19" s="17" t="s">
        <v>51</v>
      </c>
      <c r="G19" s="17" t="s">
        <v>52</v>
      </c>
      <c r="H19" s="21"/>
      <c r="I19" s="19"/>
    </row>
    <row r="20" customFormat="false" ht="15" hidden="false" customHeight="false" outlineLevel="0" collapsed="false">
      <c r="A20" s="12" t="n">
        <v>8</v>
      </c>
      <c r="B20" s="13" t="n">
        <f aca="false">IF($B$3="","",$B$3+A20-1)</f>
        <v>46251</v>
      </c>
      <c r="C20" s="12" t="n">
        <v>1</v>
      </c>
      <c r="D20" s="14" t="s">
        <v>45</v>
      </c>
      <c r="E20" s="15" t="s">
        <v>69</v>
      </c>
      <c r="F20" s="12" t="s">
        <v>47</v>
      </c>
      <c r="G20" s="12" t="s">
        <v>66</v>
      </c>
      <c r="H20" s="16"/>
      <c r="I20" s="14"/>
    </row>
    <row r="21" customFormat="false" ht="15" hidden="false" customHeight="false" outlineLevel="0" collapsed="false">
      <c r="A21" s="17" t="n">
        <v>8</v>
      </c>
      <c r="B21" s="18" t="n">
        <f aca="false">IF($B$3="","",$B$3+A21-1)</f>
        <v>46251</v>
      </c>
      <c r="C21" s="17" t="n">
        <v>2</v>
      </c>
      <c r="D21" s="19" t="s">
        <v>57</v>
      </c>
      <c r="E21" s="20" t="s">
        <v>70</v>
      </c>
      <c r="F21" s="17" t="s">
        <v>51</v>
      </c>
      <c r="G21" s="17" t="s">
        <v>52</v>
      </c>
      <c r="H21" s="21"/>
      <c r="I21" s="19"/>
    </row>
    <row r="22" customFormat="false" ht="15" hidden="false" customHeight="false" outlineLevel="0" collapsed="false">
      <c r="A22" s="12" t="n">
        <v>9</v>
      </c>
      <c r="B22" s="13" t="n">
        <f aca="false">IF($B$3="","",$B$3+A22-1)</f>
        <v>46252</v>
      </c>
      <c r="C22" s="12" t="n">
        <v>1</v>
      </c>
      <c r="D22" s="14" t="s">
        <v>45</v>
      </c>
      <c r="E22" s="15" t="s">
        <v>71</v>
      </c>
      <c r="F22" s="12" t="s">
        <v>47</v>
      </c>
      <c r="G22" s="12" t="s">
        <v>66</v>
      </c>
      <c r="H22" s="16"/>
      <c r="I22" s="14"/>
    </row>
    <row r="23" customFormat="false" ht="15" hidden="false" customHeight="false" outlineLevel="0" collapsed="false">
      <c r="A23" s="17" t="n">
        <v>9</v>
      </c>
      <c r="B23" s="18" t="n">
        <f aca="false">IF($B$3="","",$B$3+A23-1)</f>
        <v>46252</v>
      </c>
      <c r="C23" s="17" t="n">
        <v>2</v>
      </c>
      <c r="D23" s="19" t="s">
        <v>49</v>
      </c>
      <c r="E23" s="20" t="s">
        <v>72</v>
      </c>
      <c r="F23" s="17" t="s">
        <v>51</v>
      </c>
      <c r="G23" s="17" t="s">
        <v>52</v>
      </c>
      <c r="H23" s="21"/>
      <c r="I23" s="19"/>
    </row>
    <row r="24" customFormat="false" ht="15" hidden="false" customHeight="false" outlineLevel="0" collapsed="false">
      <c r="A24" s="17" t="n">
        <v>10</v>
      </c>
      <c r="B24" s="18" t="n">
        <f aca="false">IF($B$3="","",$B$3+A24-1)</f>
        <v>46253</v>
      </c>
      <c r="C24" s="17" t="n">
        <v>1</v>
      </c>
      <c r="D24" s="19" t="s">
        <v>57</v>
      </c>
      <c r="E24" s="20" t="s">
        <v>73</v>
      </c>
      <c r="F24" s="17" t="s">
        <v>51</v>
      </c>
      <c r="G24" s="17" t="s">
        <v>52</v>
      </c>
      <c r="H24" s="21"/>
      <c r="I24" s="19"/>
    </row>
    <row r="25" customFormat="false" ht="15" hidden="false" customHeight="false" outlineLevel="0" collapsed="false">
      <c r="A25" s="12" t="n">
        <v>10</v>
      </c>
      <c r="B25" s="13" t="n">
        <f aca="false">IF($B$3="","",$B$3+A25-1)</f>
        <v>46253</v>
      </c>
      <c r="C25" s="12" t="n">
        <v>2</v>
      </c>
      <c r="D25" s="14" t="s">
        <v>45</v>
      </c>
      <c r="E25" s="15" t="s">
        <v>74</v>
      </c>
      <c r="F25" s="12" t="s">
        <v>47</v>
      </c>
      <c r="G25" s="12" t="s">
        <v>66</v>
      </c>
      <c r="H25" s="16"/>
      <c r="I25" s="14"/>
    </row>
    <row r="26" customFormat="false" ht="15" hidden="false" customHeight="false" outlineLevel="0" collapsed="false">
      <c r="A26" s="12" t="n">
        <v>11</v>
      </c>
      <c r="B26" s="13" t="n">
        <f aca="false">IF($B$3="","",$B$3+A26-1)</f>
        <v>46254</v>
      </c>
      <c r="C26" s="12" t="n">
        <v>1</v>
      </c>
      <c r="D26" s="14" t="s">
        <v>45</v>
      </c>
      <c r="E26" s="15" t="s">
        <v>75</v>
      </c>
      <c r="F26" s="12" t="s">
        <v>47</v>
      </c>
      <c r="G26" s="12" t="s">
        <v>76</v>
      </c>
      <c r="H26" s="16"/>
      <c r="I26" s="14"/>
    </row>
    <row r="27" customFormat="false" ht="15" hidden="false" customHeight="false" outlineLevel="0" collapsed="false">
      <c r="A27" s="17" t="n">
        <v>11</v>
      </c>
      <c r="B27" s="18" t="n">
        <f aca="false">IF($B$3="","",$B$3+A27-1)</f>
        <v>46254</v>
      </c>
      <c r="C27" s="17" t="n">
        <v>2</v>
      </c>
      <c r="D27" s="19" t="s">
        <v>57</v>
      </c>
      <c r="E27" s="20" t="s">
        <v>77</v>
      </c>
      <c r="F27" s="17" t="s">
        <v>51</v>
      </c>
      <c r="G27" s="17" t="s">
        <v>52</v>
      </c>
      <c r="H27" s="21"/>
      <c r="I27" s="19"/>
    </row>
    <row r="28" customFormat="false" ht="15" hidden="false" customHeight="false" outlineLevel="0" collapsed="false">
      <c r="A28" s="12" t="n">
        <v>12</v>
      </c>
      <c r="B28" s="13" t="n">
        <f aca="false">IF($B$3="","",$B$3+A28-1)</f>
        <v>46255</v>
      </c>
      <c r="C28" s="12" t="n">
        <v>1</v>
      </c>
      <c r="D28" s="14" t="s">
        <v>45</v>
      </c>
      <c r="E28" s="15" t="s">
        <v>78</v>
      </c>
      <c r="F28" s="12" t="s">
        <v>47</v>
      </c>
      <c r="G28" s="12" t="s">
        <v>76</v>
      </c>
      <c r="H28" s="16"/>
      <c r="I28" s="14"/>
    </row>
    <row r="29" customFormat="false" ht="15" hidden="false" customHeight="false" outlineLevel="0" collapsed="false">
      <c r="A29" s="17" t="n">
        <v>12</v>
      </c>
      <c r="B29" s="18" t="n">
        <f aca="false">IF($B$3="","",$B$3+A29-1)</f>
        <v>46255</v>
      </c>
      <c r="C29" s="17" t="n">
        <v>2</v>
      </c>
      <c r="D29" s="19" t="s">
        <v>49</v>
      </c>
      <c r="E29" s="20" t="s">
        <v>79</v>
      </c>
      <c r="F29" s="17" t="s">
        <v>51</v>
      </c>
      <c r="G29" s="17" t="s">
        <v>52</v>
      </c>
      <c r="H29" s="21"/>
      <c r="I29" s="19"/>
    </row>
    <row r="30" customFormat="false" ht="15" hidden="false" customHeight="false" outlineLevel="0" collapsed="false">
      <c r="A30" s="12" t="n">
        <v>13</v>
      </c>
      <c r="B30" s="13" t="n">
        <f aca="false">IF($B$3="","",$B$3+A30-1)</f>
        <v>46256</v>
      </c>
      <c r="C30" s="12" t="n">
        <v>1</v>
      </c>
      <c r="D30" s="14" t="s">
        <v>45</v>
      </c>
      <c r="E30" s="15" t="s">
        <v>80</v>
      </c>
      <c r="F30" s="12" t="s">
        <v>47</v>
      </c>
      <c r="G30" s="12" t="s">
        <v>76</v>
      </c>
      <c r="H30" s="16"/>
      <c r="I30" s="14"/>
    </row>
    <row r="31" customFormat="false" ht="15" hidden="false" customHeight="false" outlineLevel="0" collapsed="false">
      <c r="A31" s="17" t="n">
        <v>13</v>
      </c>
      <c r="B31" s="18" t="n">
        <f aca="false">IF($B$3="","",$B$3+A31-1)</f>
        <v>46256</v>
      </c>
      <c r="C31" s="17" t="n">
        <v>2</v>
      </c>
      <c r="D31" s="19" t="s">
        <v>57</v>
      </c>
      <c r="E31" s="20" t="s">
        <v>81</v>
      </c>
      <c r="F31" s="17" t="s">
        <v>51</v>
      </c>
      <c r="G31" s="17" t="s">
        <v>52</v>
      </c>
      <c r="H31" s="21"/>
      <c r="I31" s="19"/>
    </row>
    <row r="32" customFormat="false" ht="15" hidden="false" customHeight="false" outlineLevel="0" collapsed="false">
      <c r="A32" s="12" t="n">
        <v>14</v>
      </c>
      <c r="B32" s="13" t="n">
        <f aca="false">IF($B$3="","",$B$3+A32-1)</f>
        <v>46257</v>
      </c>
      <c r="C32" s="12" t="n">
        <v>1</v>
      </c>
      <c r="D32" s="14" t="s">
        <v>45</v>
      </c>
      <c r="E32" s="15" t="s">
        <v>82</v>
      </c>
      <c r="F32" s="12" t="s">
        <v>47</v>
      </c>
      <c r="G32" s="12" t="s">
        <v>76</v>
      </c>
      <c r="H32" s="16"/>
      <c r="I32" s="14"/>
    </row>
    <row r="33" customFormat="false" ht="15" hidden="false" customHeight="false" outlineLevel="0" collapsed="false">
      <c r="A33" s="12" t="n">
        <v>14</v>
      </c>
      <c r="B33" s="13" t="n">
        <f aca="false">IF($B$3="","",$B$3+A33-1)</f>
        <v>46257</v>
      </c>
      <c r="C33" s="12" t="n">
        <v>2</v>
      </c>
      <c r="D33" s="14" t="s">
        <v>45</v>
      </c>
      <c r="E33" s="15" t="s">
        <v>83</v>
      </c>
      <c r="F33" s="12" t="s">
        <v>47</v>
      </c>
      <c r="G33" s="12" t="s">
        <v>76</v>
      </c>
      <c r="H33" s="16"/>
      <c r="I33" s="14"/>
    </row>
    <row r="34" customFormat="false" ht="15" hidden="false" customHeight="false" outlineLevel="0" collapsed="false">
      <c r="A34" s="17" t="n">
        <v>15</v>
      </c>
      <c r="B34" s="18" t="n">
        <f aca="false">IF($B$3="","",$B$3+A34-1)</f>
        <v>46258</v>
      </c>
      <c r="C34" s="17" t="n">
        <v>1</v>
      </c>
      <c r="D34" s="19" t="s">
        <v>57</v>
      </c>
      <c r="E34" s="20" t="s">
        <v>58</v>
      </c>
      <c r="F34" s="17" t="s">
        <v>51</v>
      </c>
      <c r="G34" s="17" t="s">
        <v>52</v>
      </c>
      <c r="H34" s="21"/>
      <c r="I34" s="19"/>
    </row>
    <row r="35" customFormat="false" ht="15" hidden="false" customHeight="false" outlineLevel="0" collapsed="false">
      <c r="A35" s="12" t="n">
        <v>15</v>
      </c>
      <c r="B35" s="13" t="n">
        <f aca="false">IF($B$3="","",$B$3+A35-1)</f>
        <v>46258</v>
      </c>
      <c r="C35" s="12" t="n">
        <v>2</v>
      </c>
      <c r="D35" s="14" t="s">
        <v>45</v>
      </c>
      <c r="E35" s="15" t="s">
        <v>46</v>
      </c>
      <c r="F35" s="12" t="s">
        <v>47</v>
      </c>
      <c r="G35" s="12" t="s">
        <v>76</v>
      </c>
      <c r="H35" s="16"/>
      <c r="I35" s="14"/>
    </row>
    <row r="36" customFormat="false" ht="15" hidden="false" customHeight="false" outlineLevel="0" collapsed="false">
      <c r="A36" s="12" t="n">
        <v>15</v>
      </c>
      <c r="B36" s="13" t="n">
        <f aca="false">IF($B$3="","",$B$3+A36-1)</f>
        <v>46258</v>
      </c>
      <c r="C36" s="12" t="n">
        <v>3</v>
      </c>
      <c r="D36" s="14" t="s">
        <v>84</v>
      </c>
      <c r="E36" s="15" t="s">
        <v>85</v>
      </c>
      <c r="F36" s="12" t="s">
        <v>47</v>
      </c>
      <c r="G36" s="12" t="s">
        <v>76</v>
      </c>
      <c r="H36" s="16"/>
      <c r="I36" s="14"/>
    </row>
    <row r="37" customFormat="false" ht="15" hidden="false" customHeight="false" outlineLevel="0" collapsed="false">
      <c r="A37" s="12" t="n">
        <v>16</v>
      </c>
      <c r="B37" s="13" t="n">
        <f aca="false">IF($B$3="","",$B$3+A37-1)</f>
        <v>46259</v>
      </c>
      <c r="C37" s="12" t="n">
        <v>1</v>
      </c>
      <c r="D37" s="14" t="s">
        <v>86</v>
      </c>
      <c r="E37" s="15" t="s">
        <v>87</v>
      </c>
      <c r="F37" s="12" t="s">
        <v>47</v>
      </c>
      <c r="G37" s="12" t="s">
        <v>88</v>
      </c>
      <c r="H37" s="16"/>
      <c r="I37" s="14"/>
    </row>
    <row r="38" customFormat="false" ht="15" hidden="false" customHeight="false" outlineLevel="0" collapsed="false">
      <c r="A38" s="12" t="n">
        <v>16</v>
      </c>
      <c r="B38" s="13" t="n">
        <f aca="false">IF($B$3="","",$B$3+A38-1)</f>
        <v>46259</v>
      </c>
      <c r="C38" s="12" t="n">
        <v>2</v>
      </c>
      <c r="D38" s="14" t="s">
        <v>61</v>
      </c>
      <c r="E38" s="15" t="s">
        <v>89</v>
      </c>
      <c r="F38" s="12" t="s">
        <v>47</v>
      </c>
      <c r="G38" s="12" t="s">
        <v>88</v>
      </c>
      <c r="H38" s="16"/>
      <c r="I38" s="14"/>
    </row>
    <row r="39" customFormat="false" ht="15" hidden="false" customHeight="false" outlineLevel="0" collapsed="false">
      <c r="A39" s="17" t="n">
        <v>16</v>
      </c>
      <c r="B39" s="18" t="n">
        <f aca="false">IF($B$3="","",$B$3+A39-1)</f>
        <v>46259</v>
      </c>
      <c r="C39" s="17" t="n">
        <v>3</v>
      </c>
      <c r="D39" s="19" t="s">
        <v>57</v>
      </c>
      <c r="E39" s="20" t="s">
        <v>60</v>
      </c>
      <c r="F39" s="17" t="s">
        <v>51</v>
      </c>
      <c r="G39" s="17" t="s">
        <v>52</v>
      </c>
      <c r="H39" s="21"/>
      <c r="I39" s="19"/>
    </row>
    <row r="40" customFormat="false" ht="15" hidden="false" customHeight="false" outlineLevel="0" collapsed="false">
      <c r="A40" s="12" t="n">
        <v>17</v>
      </c>
      <c r="B40" s="13" t="n">
        <f aca="false">IF($B$3="","",$B$3+A40-1)</f>
        <v>46260</v>
      </c>
      <c r="C40" s="12" t="n">
        <v>1</v>
      </c>
      <c r="D40" s="14" t="s">
        <v>86</v>
      </c>
      <c r="E40" s="15" t="s">
        <v>90</v>
      </c>
      <c r="F40" s="12" t="s">
        <v>47</v>
      </c>
      <c r="G40" s="12" t="s">
        <v>88</v>
      </c>
      <c r="H40" s="16"/>
      <c r="I40" s="14"/>
    </row>
    <row r="41" customFormat="false" ht="15" hidden="false" customHeight="false" outlineLevel="0" collapsed="false">
      <c r="A41" s="12" t="n">
        <v>17</v>
      </c>
      <c r="B41" s="13" t="n">
        <f aca="false">IF($B$3="","",$B$3+A41-1)</f>
        <v>46260</v>
      </c>
      <c r="C41" s="12" t="n">
        <v>2</v>
      </c>
      <c r="D41" s="14" t="s">
        <v>84</v>
      </c>
      <c r="E41" s="15" t="s">
        <v>91</v>
      </c>
      <c r="F41" s="12" t="s">
        <v>47</v>
      </c>
      <c r="G41" s="12" t="s">
        <v>88</v>
      </c>
      <c r="H41" s="16"/>
      <c r="I41" s="14"/>
    </row>
    <row r="42" customFormat="false" ht="15" hidden="false" customHeight="false" outlineLevel="0" collapsed="false">
      <c r="A42" s="12" t="n">
        <v>17</v>
      </c>
      <c r="B42" s="13" t="n">
        <f aca="false">IF($B$3="","",$B$3+A42-1)</f>
        <v>46260</v>
      </c>
      <c r="C42" s="12" t="n">
        <v>3</v>
      </c>
      <c r="D42" s="14" t="s">
        <v>92</v>
      </c>
      <c r="E42" s="15" t="s">
        <v>93</v>
      </c>
      <c r="F42" s="12" t="s">
        <v>47</v>
      </c>
      <c r="G42" s="12" t="s">
        <v>88</v>
      </c>
      <c r="H42" s="16"/>
      <c r="I42" s="14"/>
    </row>
    <row r="43" customFormat="false" ht="15" hidden="false" customHeight="false" outlineLevel="0" collapsed="false">
      <c r="A43" s="17" t="n">
        <v>18</v>
      </c>
      <c r="B43" s="18" t="n">
        <f aca="false">IF($B$3="","",$B$3+A43-1)</f>
        <v>46261</v>
      </c>
      <c r="C43" s="17" t="n">
        <v>1</v>
      </c>
      <c r="D43" s="19" t="s">
        <v>57</v>
      </c>
      <c r="E43" s="20" t="s">
        <v>64</v>
      </c>
      <c r="F43" s="17" t="s">
        <v>51</v>
      </c>
      <c r="G43" s="17" t="s">
        <v>52</v>
      </c>
      <c r="H43" s="21"/>
      <c r="I43" s="19"/>
    </row>
    <row r="44" customFormat="false" ht="15" hidden="false" customHeight="false" outlineLevel="0" collapsed="false">
      <c r="A44" s="12" t="n">
        <v>18</v>
      </c>
      <c r="B44" s="13" t="n">
        <f aca="false">IF($B$3="","",$B$3+A44-1)</f>
        <v>46261</v>
      </c>
      <c r="C44" s="12" t="n">
        <v>2</v>
      </c>
      <c r="D44" s="14" t="s">
        <v>45</v>
      </c>
      <c r="E44" s="15" t="s">
        <v>53</v>
      </c>
      <c r="F44" s="12" t="s">
        <v>47</v>
      </c>
      <c r="G44" s="12" t="s">
        <v>88</v>
      </c>
      <c r="H44" s="16"/>
      <c r="I44" s="14"/>
    </row>
    <row r="45" customFormat="false" ht="15" hidden="false" customHeight="false" outlineLevel="0" collapsed="false">
      <c r="A45" s="12" t="n">
        <v>18</v>
      </c>
      <c r="B45" s="13" t="n">
        <f aca="false">IF($B$3="","",$B$3+A45-1)</f>
        <v>46261</v>
      </c>
      <c r="C45" s="12" t="n">
        <v>3</v>
      </c>
      <c r="D45" s="14" t="s">
        <v>54</v>
      </c>
      <c r="E45" s="15" t="s">
        <v>94</v>
      </c>
      <c r="F45" s="12" t="s">
        <v>47</v>
      </c>
      <c r="G45" s="12" t="s">
        <v>88</v>
      </c>
      <c r="H45" s="16"/>
      <c r="I45" s="14"/>
    </row>
    <row r="46" customFormat="false" ht="15" hidden="false" customHeight="false" outlineLevel="0" collapsed="false">
      <c r="A46" s="12" t="n">
        <v>19</v>
      </c>
      <c r="B46" s="13" t="n">
        <f aca="false">IF($B$3="","",$B$3+A46-1)</f>
        <v>46262</v>
      </c>
      <c r="C46" s="12" t="n">
        <v>1</v>
      </c>
      <c r="D46" s="14" t="s">
        <v>84</v>
      </c>
      <c r="E46" s="15" t="s">
        <v>95</v>
      </c>
      <c r="F46" s="12" t="s">
        <v>47</v>
      </c>
      <c r="G46" s="12" t="s">
        <v>88</v>
      </c>
      <c r="H46" s="16"/>
      <c r="I46" s="14"/>
    </row>
    <row r="47" customFormat="false" ht="15" hidden="false" customHeight="false" outlineLevel="0" collapsed="false">
      <c r="A47" s="17" t="n">
        <v>19</v>
      </c>
      <c r="B47" s="18" t="n">
        <f aca="false">IF($B$3="","",$B$3+A47-1)</f>
        <v>46262</v>
      </c>
      <c r="C47" s="17" t="n">
        <v>2</v>
      </c>
      <c r="D47" s="19" t="s">
        <v>57</v>
      </c>
      <c r="E47" s="20" t="s">
        <v>67</v>
      </c>
      <c r="F47" s="17" t="s">
        <v>51</v>
      </c>
      <c r="G47" s="17" t="s">
        <v>52</v>
      </c>
      <c r="H47" s="21"/>
      <c r="I47" s="19"/>
    </row>
    <row r="48" customFormat="false" ht="15" hidden="false" customHeight="false" outlineLevel="0" collapsed="false">
      <c r="A48" s="12" t="n">
        <v>19</v>
      </c>
      <c r="B48" s="13" t="n">
        <f aca="false">IF($B$3="","",$B$3+A48-1)</f>
        <v>46262</v>
      </c>
      <c r="C48" s="12" t="n">
        <v>3</v>
      </c>
      <c r="D48" s="14" t="s">
        <v>96</v>
      </c>
      <c r="E48" s="15" t="s">
        <v>97</v>
      </c>
      <c r="F48" s="12" t="s">
        <v>47</v>
      </c>
      <c r="G48" s="12" t="s">
        <v>88</v>
      </c>
      <c r="H48" s="16"/>
      <c r="I48" s="14"/>
    </row>
    <row r="49" customFormat="false" ht="15" hidden="false" customHeight="false" outlineLevel="0" collapsed="false">
      <c r="A49" s="17" t="n">
        <v>20</v>
      </c>
      <c r="B49" s="18" t="n">
        <f aca="false">IF($B$3="","",$B$3+A49-1)</f>
        <v>46263</v>
      </c>
      <c r="C49" s="17" t="n">
        <v>1</v>
      </c>
      <c r="D49" s="19" t="s">
        <v>49</v>
      </c>
      <c r="E49" s="20" t="s">
        <v>98</v>
      </c>
      <c r="F49" s="17" t="s">
        <v>51</v>
      </c>
      <c r="G49" s="17" t="s">
        <v>52</v>
      </c>
      <c r="H49" s="21"/>
      <c r="I49" s="19"/>
    </row>
    <row r="50" customFormat="false" ht="15" hidden="false" customHeight="false" outlineLevel="0" collapsed="false">
      <c r="A50" s="17" t="n">
        <v>20</v>
      </c>
      <c r="B50" s="18" t="n">
        <f aca="false">IF($B$3="","",$B$3+A50-1)</f>
        <v>46263</v>
      </c>
      <c r="C50" s="17" t="n">
        <v>2</v>
      </c>
      <c r="D50" s="19" t="s">
        <v>57</v>
      </c>
      <c r="E50" s="20" t="s">
        <v>70</v>
      </c>
      <c r="F50" s="17" t="s">
        <v>51</v>
      </c>
      <c r="G50" s="17" t="s">
        <v>52</v>
      </c>
      <c r="H50" s="21"/>
      <c r="I50" s="19"/>
    </row>
    <row r="51" customFormat="false" ht="15" hidden="false" customHeight="false" outlineLevel="0" collapsed="false">
      <c r="A51" s="12" t="n">
        <v>20</v>
      </c>
      <c r="B51" s="13" t="n">
        <f aca="false">IF($B$3="","",$B$3+A51-1)</f>
        <v>46263</v>
      </c>
      <c r="C51" s="12" t="n">
        <v>3</v>
      </c>
      <c r="D51" s="14" t="s">
        <v>61</v>
      </c>
      <c r="E51" s="15" t="s">
        <v>99</v>
      </c>
      <c r="F51" s="12" t="s">
        <v>47</v>
      </c>
      <c r="G51" s="12" t="s">
        <v>88</v>
      </c>
      <c r="H51" s="16"/>
      <c r="I51" s="14"/>
    </row>
    <row r="52" customFormat="false" ht="15" hidden="false" customHeight="false" outlineLevel="0" collapsed="false">
      <c r="A52" s="17" t="n">
        <v>21</v>
      </c>
      <c r="B52" s="18" t="n">
        <f aca="false">IF($B$3="","",$B$3+A52-1)</f>
        <v>46264</v>
      </c>
      <c r="C52" s="17" t="n">
        <v>1</v>
      </c>
      <c r="D52" s="19" t="s">
        <v>57</v>
      </c>
      <c r="E52" s="20" t="s">
        <v>73</v>
      </c>
      <c r="F52" s="17" t="s">
        <v>51</v>
      </c>
      <c r="G52" s="17" t="s">
        <v>52</v>
      </c>
      <c r="H52" s="21"/>
      <c r="I52" s="19"/>
    </row>
    <row r="53" customFormat="false" ht="15" hidden="false" customHeight="false" outlineLevel="0" collapsed="false">
      <c r="A53" s="17" t="n">
        <v>21</v>
      </c>
      <c r="B53" s="18" t="n">
        <f aca="false">IF($B$3="","",$B$3+A53-1)</f>
        <v>46264</v>
      </c>
      <c r="C53" s="17" t="n">
        <v>2</v>
      </c>
      <c r="D53" s="19" t="s">
        <v>49</v>
      </c>
      <c r="E53" s="20" t="s">
        <v>100</v>
      </c>
      <c r="F53" s="17" t="s">
        <v>51</v>
      </c>
      <c r="G53" s="17" t="s">
        <v>52</v>
      </c>
      <c r="H53" s="21"/>
      <c r="I53" s="19"/>
    </row>
    <row r="54" customFormat="false" ht="15" hidden="false" customHeight="false" outlineLevel="0" collapsed="false">
      <c r="A54" s="12" t="n">
        <v>21</v>
      </c>
      <c r="B54" s="13" t="n">
        <f aca="false">IF($B$3="","",$B$3+A54-1)</f>
        <v>46264</v>
      </c>
      <c r="C54" s="12" t="n">
        <v>3</v>
      </c>
      <c r="D54" s="14" t="s">
        <v>101</v>
      </c>
      <c r="E54" s="15" t="s">
        <v>102</v>
      </c>
      <c r="F54" s="12" t="s">
        <v>47</v>
      </c>
      <c r="G54" s="12" t="s">
        <v>103</v>
      </c>
      <c r="H54" s="16"/>
      <c r="I54" s="14"/>
    </row>
    <row r="55" customFormat="false" ht="15" hidden="false" customHeight="false" outlineLevel="0" collapsed="false">
      <c r="A55" s="12" t="n">
        <v>22</v>
      </c>
      <c r="B55" s="13" t="n">
        <f aca="false">IF($B$3="","",$B$3+A55-1)</f>
        <v>46265</v>
      </c>
      <c r="C55" s="12" t="n">
        <v>1</v>
      </c>
      <c r="D55" s="14" t="s">
        <v>61</v>
      </c>
      <c r="E55" s="15" t="s">
        <v>104</v>
      </c>
      <c r="F55" s="12" t="s">
        <v>47</v>
      </c>
      <c r="G55" s="12" t="s">
        <v>103</v>
      </c>
      <c r="H55" s="16"/>
      <c r="I55" s="14"/>
    </row>
    <row r="56" customFormat="false" ht="15" hidden="false" customHeight="false" outlineLevel="0" collapsed="false">
      <c r="A56" s="12" t="n">
        <v>22</v>
      </c>
      <c r="B56" s="13" t="n">
        <f aca="false">IF($B$3="","",$B$3+A56-1)</f>
        <v>46265</v>
      </c>
      <c r="C56" s="12" t="n">
        <v>2</v>
      </c>
      <c r="D56" s="14" t="s">
        <v>45</v>
      </c>
      <c r="E56" s="15" t="s">
        <v>56</v>
      </c>
      <c r="F56" s="12" t="s">
        <v>47</v>
      </c>
      <c r="G56" s="12" t="s">
        <v>103</v>
      </c>
      <c r="H56" s="16"/>
      <c r="I56" s="14"/>
    </row>
    <row r="57" customFormat="false" ht="15" hidden="false" customHeight="false" outlineLevel="0" collapsed="false">
      <c r="A57" s="12" t="n">
        <v>22</v>
      </c>
      <c r="B57" s="13" t="n">
        <f aca="false">IF($B$3="","",$B$3+A57-1)</f>
        <v>46265</v>
      </c>
      <c r="C57" s="12" t="n">
        <v>3</v>
      </c>
      <c r="D57" s="14" t="s">
        <v>54</v>
      </c>
      <c r="E57" s="15" t="s">
        <v>105</v>
      </c>
      <c r="F57" s="12" t="s">
        <v>47</v>
      </c>
      <c r="G57" s="12" t="s">
        <v>103</v>
      </c>
      <c r="H57" s="16"/>
      <c r="I57" s="14"/>
    </row>
    <row r="58" customFormat="false" ht="15" hidden="false" customHeight="false" outlineLevel="0" collapsed="false">
      <c r="A58" s="12" t="n">
        <v>23</v>
      </c>
      <c r="B58" s="13" t="n">
        <f aca="false">IF($B$3="","",$B$3+A58-1)</f>
        <v>46266</v>
      </c>
      <c r="C58" s="12" t="n">
        <v>1</v>
      </c>
      <c r="D58" s="14" t="s">
        <v>86</v>
      </c>
      <c r="E58" s="15" t="s">
        <v>106</v>
      </c>
      <c r="F58" s="12" t="s">
        <v>47</v>
      </c>
      <c r="G58" s="12" t="s">
        <v>103</v>
      </c>
      <c r="H58" s="16"/>
      <c r="I58" s="14"/>
    </row>
    <row r="59" customFormat="false" ht="15" hidden="false" customHeight="false" outlineLevel="0" collapsed="false">
      <c r="A59" s="12" t="n">
        <v>23</v>
      </c>
      <c r="B59" s="13" t="n">
        <f aca="false">IF($B$3="","",$B$3+A59-1)</f>
        <v>46266</v>
      </c>
      <c r="C59" s="12" t="n">
        <v>2</v>
      </c>
      <c r="D59" s="14" t="s">
        <v>84</v>
      </c>
      <c r="E59" s="15" t="s">
        <v>107</v>
      </c>
      <c r="F59" s="12" t="s">
        <v>47</v>
      </c>
      <c r="G59" s="12" t="s">
        <v>103</v>
      </c>
      <c r="H59" s="16"/>
      <c r="I59" s="14"/>
    </row>
    <row r="60" customFormat="false" ht="15" hidden="false" customHeight="false" outlineLevel="0" collapsed="false">
      <c r="A60" s="17" t="n">
        <v>23</v>
      </c>
      <c r="B60" s="18" t="n">
        <f aca="false">IF($B$3="","",$B$3+A60-1)</f>
        <v>46266</v>
      </c>
      <c r="C60" s="17" t="n">
        <v>3</v>
      </c>
      <c r="D60" s="19" t="s">
        <v>49</v>
      </c>
      <c r="E60" s="20" t="s">
        <v>50</v>
      </c>
      <c r="F60" s="17" t="s">
        <v>51</v>
      </c>
      <c r="G60" s="17" t="s">
        <v>52</v>
      </c>
      <c r="H60" s="21"/>
      <c r="I60" s="19"/>
    </row>
    <row r="61" customFormat="false" ht="15" hidden="false" customHeight="false" outlineLevel="0" collapsed="false">
      <c r="A61" s="12" t="n">
        <v>24</v>
      </c>
      <c r="B61" s="13" t="n">
        <f aca="false">IF($B$3="","",$B$3+A61-1)</f>
        <v>46267</v>
      </c>
      <c r="C61" s="12" t="n">
        <v>1</v>
      </c>
      <c r="D61" s="14" t="s">
        <v>92</v>
      </c>
      <c r="E61" s="15" t="s">
        <v>108</v>
      </c>
      <c r="F61" s="12" t="s">
        <v>47</v>
      </c>
      <c r="G61" s="12" t="s">
        <v>103</v>
      </c>
      <c r="H61" s="16"/>
      <c r="I61" s="14"/>
    </row>
    <row r="62" customFormat="false" ht="15" hidden="false" customHeight="false" outlineLevel="0" collapsed="false">
      <c r="A62" s="12" t="n">
        <v>24</v>
      </c>
      <c r="B62" s="13" t="n">
        <f aca="false">IF($B$3="","",$B$3+A62-1)</f>
        <v>46267</v>
      </c>
      <c r="C62" s="12" t="n">
        <v>2</v>
      </c>
      <c r="D62" s="14" t="s">
        <v>101</v>
      </c>
      <c r="E62" s="15" t="s">
        <v>109</v>
      </c>
      <c r="F62" s="12" t="s">
        <v>47</v>
      </c>
      <c r="G62" s="12" t="s">
        <v>103</v>
      </c>
      <c r="H62" s="16"/>
      <c r="I62" s="14"/>
    </row>
    <row r="63" customFormat="false" ht="15" hidden="false" customHeight="false" outlineLevel="0" collapsed="false">
      <c r="A63" s="12" t="n">
        <v>24</v>
      </c>
      <c r="B63" s="13" t="n">
        <f aca="false">IF($B$3="","",$B$3+A63-1)</f>
        <v>46267</v>
      </c>
      <c r="C63" s="12" t="n">
        <v>3</v>
      </c>
      <c r="D63" s="14" t="s">
        <v>45</v>
      </c>
      <c r="E63" s="15" t="s">
        <v>59</v>
      </c>
      <c r="F63" s="12" t="s">
        <v>47</v>
      </c>
      <c r="G63" s="12" t="s">
        <v>103</v>
      </c>
      <c r="H63" s="16"/>
      <c r="I63" s="14"/>
    </row>
    <row r="64" customFormat="false" ht="15" hidden="false" customHeight="false" outlineLevel="0" collapsed="false">
      <c r="A64" s="17" t="n">
        <v>25</v>
      </c>
      <c r="B64" s="18" t="n">
        <f aca="false">IF($B$3="","",$B$3+A64-1)</f>
        <v>46268</v>
      </c>
      <c r="C64" s="17" t="n">
        <v>1</v>
      </c>
      <c r="D64" s="19" t="s">
        <v>49</v>
      </c>
      <c r="E64" s="20" t="s">
        <v>63</v>
      </c>
      <c r="F64" s="17" t="s">
        <v>51</v>
      </c>
      <c r="G64" s="17" t="s">
        <v>52</v>
      </c>
      <c r="H64" s="21"/>
      <c r="I64" s="19"/>
    </row>
    <row r="65" customFormat="false" ht="15" hidden="false" customHeight="false" outlineLevel="0" collapsed="false">
      <c r="A65" s="12" t="n">
        <v>25</v>
      </c>
      <c r="B65" s="13" t="n">
        <f aca="false">IF($B$3="","",$B$3+A65-1)</f>
        <v>46268</v>
      </c>
      <c r="C65" s="12" t="n">
        <v>2</v>
      </c>
      <c r="D65" s="14" t="s">
        <v>45</v>
      </c>
      <c r="E65" s="15" t="s">
        <v>69</v>
      </c>
      <c r="F65" s="12" t="s">
        <v>47</v>
      </c>
      <c r="G65" s="12" t="s">
        <v>103</v>
      </c>
      <c r="H65" s="16"/>
      <c r="I65" s="14"/>
    </row>
    <row r="66" customFormat="false" ht="15" hidden="false" customHeight="false" outlineLevel="0" collapsed="false">
      <c r="A66" s="12" t="n">
        <v>25</v>
      </c>
      <c r="B66" s="13" t="n">
        <f aca="false">IF($B$3="","",$B$3+A66-1)</f>
        <v>46268</v>
      </c>
      <c r="C66" s="12" t="n">
        <v>3</v>
      </c>
      <c r="D66" s="14" t="s">
        <v>101</v>
      </c>
      <c r="E66" s="15" t="s">
        <v>110</v>
      </c>
      <c r="F66" s="12" t="s">
        <v>47</v>
      </c>
      <c r="G66" s="12" t="s">
        <v>103</v>
      </c>
      <c r="H66" s="16"/>
      <c r="I66" s="14"/>
    </row>
    <row r="67" customFormat="false" ht="15" hidden="false" customHeight="false" outlineLevel="0" collapsed="false">
      <c r="A67" s="17" t="n">
        <v>26</v>
      </c>
      <c r="B67" s="18" t="n">
        <f aca="false">IF($B$3="","",$B$3+A67-1)</f>
        <v>46269</v>
      </c>
      <c r="C67" s="17" t="n">
        <v>1</v>
      </c>
      <c r="D67" s="19" t="s">
        <v>49</v>
      </c>
      <c r="E67" s="20" t="s">
        <v>68</v>
      </c>
      <c r="F67" s="17" t="s">
        <v>51</v>
      </c>
      <c r="G67" s="17" t="s">
        <v>52</v>
      </c>
      <c r="H67" s="21"/>
      <c r="I67" s="19"/>
    </row>
    <row r="68" customFormat="false" ht="15" hidden="false" customHeight="false" outlineLevel="0" collapsed="false">
      <c r="A68" s="12" t="n">
        <v>26</v>
      </c>
      <c r="B68" s="13" t="n">
        <f aca="false">IF($B$3="","",$B$3+A68-1)</f>
        <v>46269</v>
      </c>
      <c r="C68" s="12" t="n">
        <v>2</v>
      </c>
      <c r="D68" s="14" t="s">
        <v>45</v>
      </c>
      <c r="E68" s="15" t="s">
        <v>71</v>
      </c>
      <c r="F68" s="12" t="s">
        <v>47</v>
      </c>
      <c r="G68" s="12" t="s">
        <v>111</v>
      </c>
      <c r="H68" s="16"/>
      <c r="I68" s="14"/>
    </row>
    <row r="69" customFormat="false" ht="15" hidden="false" customHeight="false" outlineLevel="0" collapsed="false">
      <c r="A69" s="12" t="n">
        <v>26</v>
      </c>
      <c r="B69" s="13" t="n">
        <f aca="false">IF($B$3="","",$B$3+A69-1)</f>
        <v>46269</v>
      </c>
      <c r="C69" s="12" t="n">
        <v>3</v>
      </c>
      <c r="D69" s="14" t="s">
        <v>54</v>
      </c>
      <c r="E69" s="15" t="s">
        <v>112</v>
      </c>
      <c r="F69" s="12" t="s">
        <v>47</v>
      </c>
      <c r="G69" s="12" t="s">
        <v>111</v>
      </c>
      <c r="H69" s="16"/>
      <c r="I69" s="14"/>
    </row>
    <row r="70" customFormat="false" ht="15" hidden="false" customHeight="false" outlineLevel="0" collapsed="false">
      <c r="A70" s="17" t="n">
        <v>27</v>
      </c>
      <c r="B70" s="18" t="n">
        <f aca="false">IF($B$3="","",$B$3+A70-1)</f>
        <v>46270</v>
      </c>
      <c r="C70" s="17" t="n">
        <v>1</v>
      </c>
      <c r="D70" s="19" t="s">
        <v>49</v>
      </c>
      <c r="E70" s="20" t="s">
        <v>72</v>
      </c>
      <c r="F70" s="17" t="s">
        <v>51</v>
      </c>
      <c r="G70" s="17" t="s">
        <v>52</v>
      </c>
      <c r="H70" s="21"/>
      <c r="I70" s="19"/>
    </row>
    <row r="71" customFormat="false" ht="15" hidden="false" customHeight="false" outlineLevel="0" collapsed="false">
      <c r="A71" s="12" t="n">
        <v>27</v>
      </c>
      <c r="B71" s="13" t="n">
        <f aca="false">IF($B$3="","",$B$3+A71-1)</f>
        <v>46270</v>
      </c>
      <c r="C71" s="12" t="n">
        <v>2</v>
      </c>
      <c r="D71" s="14" t="s">
        <v>54</v>
      </c>
      <c r="E71" s="15" t="s">
        <v>113</v>
      </c>
      <c r="F71" s="12" t="s">
        <v>47</v>
      </c>
      <c r="G71" s="12" t="s">
        <v>111</v>
      </c>
      <c r="H71" s="16"/>
      <c r="I71" s="14"/>
    </row>
    <row r="72" customFormat="false" ht="15" hidden="false" customHeight="false" outlineLevel="0" collapsed="false">
      <c r="A72" s="17" t="n">
        <v>27</v>
      </c>
      <c r="B72" s="18" t="n">
        <f aca="false">IF($B$3="","",$B$3+A72-1)</f>
        <v>46270</v>
      </c>
      <c r="C72" s="17" t="n">
        <v>3</v>
      </c>
      <c r="D72" s="19" t="s">
        <v>57</v>
      </c>
      <c r="E72" s="20" t="s">
        <v>77</v>
      </c>
      <c r="F72" s="17" t="s">
        <v>51</v>
      </c>
      <c r="G72" s="17" t="s">
        <v>52</v>
      </c>
      <c r="H72" s="21"/>
      <c r="I72" s="19"/>
    </row>
    <row r="73" customFormat="false" ht="15" hidden="false" customHeight="false" outlineLevel="0" collapsed="false">
      <c r="A73" s="12" t="n">
        <v>28</v>
      </c>
      <c r="B73" s="13" t="n">
        <f aca="false">IF($B$3="","",$B$3+A73-1)</f>
        <v>46271</v>
      </c>
      <c r="C73" s="12" t="n">
        <v>1</v>
      </c>
      <c r="D73" s="14" t="s">
        <v>45</v>
      </c>
      <c r="E73" s="15" t="s">
        <v>74</v>
      </c>
      <c r="F73" s="12" t="s">
        <v>47</v>
      </c>
      <c r="G73" s="12" t="s">
        <v>111</v>
      </c>
      <c r="H73" s="16"/>
      <c r="I73" s="14"/>
    </row>
    <row r="74" customFormat="false" ht="15" hidden="false" customHeight="false" outlineLevel="0" collapsed="false">
      <c r="A74" s="12" t="n">
        <v>28</v>
      </c>
      <c r="B74" s="13" t="n">
        <f aca="false">IF($B$3="","",$B$3+A74-1)</f>
        <v>46271</v>
      </c>
      <c r="C74" s="12" t="n">
        <v>2</v>
      </c>
      <c r="D74" s="14" t="s">
        <v>84</v>
      </c>
      <c r="E74" s="15" t="s">
        <v>114</v>
      </c>
      <c r="F74" s="12" t="s">
        <v>47</v>
      </c>
      <c r="G74" s="12" t="s">
        <v>111</v>
      </c>
      <c r="H74" s="16"/>
      <c r="I74" s="14"/>
    </row>
    <row r="75" customFormat="false" ht="15" hidden="false" customHeight="false" outlineLevel="0" collapsed="false">
      <c r="A75" s="12" t="n">
        <v>28</v>
      </c>
      <c r="B75" s="13" t="n">
        <f aca="false">IF($B$3="","",$B$3+A75-1)</f>
        <v>46271</v>
      </c>
      <c r="C75" s="12" t="n">
        <v>3</v>
      </c>
      <c r="D75" s="14" t="s">
        <v>54</v>
      </c>
      <c r="E75" s="15" t="s">
        <v>115</v>
      </c>
      <c r="F75" s="12" t="s">
        <v>47</v>
      </c>
      <c r="G75" s="12" t="s">
        <v>111</v>
      </c>
      <c r="H75" s="16"/>
      <c r="I75" s="14"/>
    </row>
    <row r="76" customFormat="false" ht="15" hidden="false" customHeight="false" outlineLevel="0" collapsed="false">
      <c r="A76" s="12" t="n">
        <v>29</v>
      </c>
      <c r="B76" s="13" t="n">
        <f aca="false">IF($B$3="","",$B$3+A76-1)</f>
        <v>46272</v>
      </c>
      <c r="C76" s="12" t="n">
        <v>1</v>
      </c>
      <c r="D76" s="14" t="s">
        <v>96</v>
      </c>
      <c r="E76" s="15" t="s">
        <v>116</v>
      </c>
      <c r="F76" s="12" t="s">
        <v>47</v>
      </c>
      <c r="G76" s="12" t="s">
        <v>111</v>
      </c>
      <c r="H76" s="16"/>
      <c r="I76" s="14"/>
    </row>
    <row r="77" customFormat="false" ht="15" hidden="false" customHeight="false" outlineLevel="0" collapsed="false">
      <c r="A77" s="12" t="n">
        <v>29</v>
      </c>
      <c r="B77" s="13" t="n">
        <f aca="false">IF($B$3="","",$B$3+A77-1)</f>
        <v>46272</v>
      </c>
      <c r="C77" s="12" t="n">
        <v>2</v>
      </c>
      <c r="D77" s="14" t="s">
        <v>45</v>
      </c>
      <c r="E77" s="15" t="s">
        <v>75</v>
      </c>
      <c r="F77" s="12" t="s">
        <v>47</v>
      </c>
      <c r="G77" s="12" t="s">
        <v>111</v>
      </c>
      <c r="H77" s="16"/>
      <c r="I77" s="14"/>
    </row>
    <row r="78" customFormat="false" ht="15" hidden="false" customHeight="false" outlineLevel="0" collapsed="false">
      <c r="A78" s="12" t="n">
        <v>29</v>
      </c>
      <c r="B78" s="13" t="n">
        <f aca="false">IF($B$3="","",$B$3+A78-1)</f>
        <v>46272</v>
      </c>
      <c r="C78" s="12" t="n">
        <v>3</v>
      </c>
      <c r="D78" s="14" t="s">
        <v>84</v>
      </c>
      <c r="E78" s="15" t="s">
        <v>117</v>
      </c>
      <c r="F78" s="12" t="s">
        <v>47</v>
      </c>
      <c r="G78" s="12" t="s">
        <v>111</v>
      </c>
      <c r="H78" s="16"/>
      <c r="I78" s="14"/>
    </row>
    <row r="79" customFormat="false" ht="15" hidden="false" customHeight="false" outlineLevel="0" collapsed="false">
      <c r="A79" s="12" t="n">
        <v>30</v>
      </c>
      <c r="B79" s="13" t="n">
        <f aca="false">IF($B$3="","",$B$3+A79-1)</f>
        <v>46273</v>
      </c>
      <c r="C79" s="12" t="n">
        <v>1</v>
      </c>
      <c r="D79" s="14" t="s">
        <v>45</v>
      </c>
      <c r="E79" s="15" t="s">
        <v>78</v>
      </c>
      <c r="F79" s="12" t="s">
        <v>47</v>
      </c>
      <c r="G79" s="12" t="s">
        <v>111</v>
      </c>
      <c r="H79" s="16"/>
      <c r="I79" s="14"/>
    </row>
    <row r="80" customFormat="false" ht="15" hidden="false" customHeight="false" outlineLevel="0" collapsed="false">
      <c r="A80" s="12" t="n">
        <v>30</v>
      </c>
      <c r="B80" s="13" t="n">
        <f aca="false">IF($B$3="","",$B$3+A80-1)</f>
        <v>46273</v>
      </c>
      <c r="C80" s="12" t="n">
        <v>2</v>
      </c>
      <c r="D80" s="14" t="s">
        <v>101</v>
      </c>
      <c r="E80" s="15" t="s">
        <v>118</v>
      </c>
      <c r="F80" s="12" t="s">
        <v>47</v>
      </c>
      <c r="G80" s="12" t="s">
        <v>111</v>
      </c>
      <c r="H80" s="16"/>
      <c r="I80" s="14"/>
    </row>
    <row r="81" customFormat="false" ht="15" hidden="false" customHeight="false" outlineLevel="0" collapsed="false">
      <c r="A81" s="17" t="n">
        <v>30</v>
      </c>
      <c r="B81" s="18" t="n">
        <f aca="false">IF($B$3="","",$B$3+A81-1)</f>
        <v>46273</v>
      </c>
      <c r="C81" s="17" t="n">
        <v>3</v>
      </c>
      <c r="D81" s="19" t="s">
        <v>57</v>
      </c>
      <c r="E81" s="20" t="s">
        <v>81</v>
      </c>
      <c r="F81" s="17" t="s">
        <v>51</v>
      </c>
      <c r="G81" s="17" t="s">
        <v>52</v>
      </c>
      <c r="H81" s="21"/>
      <c r="I81" s="19"/>
    </row>
    <row r="82" customFormat="false" ht="15" hidden="false" customHeight="false" outlineLevel="0" collapsed="false">
      <c r="A82" s="12" t="n">
        <v>31</v>
      </c>
      <c r="B82" s="13" t="n">
        <f aca="false">IF($B$3="","",$B$3+A82-1)</f>
        <v>46274</v>
      </c>
      <c r="C82" s="12" t="n">
        <v>1</v>
      </c>
      <c r="D82" s="14" t="s">
        <v>119</v>
      </c>
      <c r="E82" s="15" t="s">
        <v>120</v>
      </c>
      <c r="F82" s="12" t="s">
        <v>47</v>
      </c>
      <c r="G82" s="12" t="s">
        <v>121</v>
      </c>
      <c r="H82" s="16"/>
      <c r="I82" s="22" t="s">
        <v>122</v>
      </c>
    </row>
    <row r="83" customFormat="false" ht="15" hidden="false" customHeight="false" outlineLevel="0" collapsed="false">
      <c r="A83" s="12" t="n">
        <v>31</v>
      </c>
      <c r="B83" s="13" t="n">
        <f aca="false">IF($B$3="","",$B$3+A83-1)</f>
        <v>46274</v>
      </c>
      <c r="C83" s="12" t="n">
        <v>2</v>
      </c>
      <c r="D83" s="14" t="s">
        <v>45</v>
      </c>
      <c r="E83" s="15" t="s">
        <v>80</v>
      </c>
      <c r="F83" s="12" t="s">
        <v>47</v>
      </c>
      <c r="G83" s="12" t="s">
        <v>121</v>
      </c>
      <c r="H83" s="16"/>
      <c r="I83" s="14"/>
    </row>
    <row r="84" customFormat="false" ht="15" hidden="false" customHeight="false" outlineLevel="0" collapsed="false">
      <c r="A84" s="12" t="n">
        <v>31</v>
      </c>
      <c r="B84" s="13" t="n">
        <f aca="false">IF($B$3="","",$B$3+A84-1)</f>
        <v>46274</v>
      </c>
      <c r="C84" s="12" t="n">
        <v>3</v>
      </c>
      <c r="D84" s="14" t="s">
        <v>61</v>
      </c>
      <c r="E84" s="15" t="s">
        <v>123</v>
      </c>
      <c r="F84" s="12" t="s">
        <v>47</v>
      </c>
      <c r="G84" s="12" t="s">
        <v>121</v>
      </c>
      <c r="H84" s="16"/>
      <c r="I84" s="14"/>
    </row>
    <row r="85" customFormat="false" ht="15" hidden="false" customHeight="false" outlineLevel="0" collapsed="false">
      <c r="A85" s="12" t="n">
        <v>32</v>
      </c>
      <c r="B85" s="13" t="n">
        <f aca="false">IF($B$3="","",$B$3+A85-1)</f>
        <v>46275</v>
      </c>
      <c r="C85" s="12" t="n">
        <v>1</v>
      </c>
      <c r="D85" s="14" t="s">
        <v>45</v>
      </c>
      <c r="E85" s="15" t="s">
        <v>82</v>
      </c>
      <c r="F85" s="12" t="s">
        <v>47</v>
      </c>
      <c r="G85" s="12" t="s">
        <v>121</v>
      </c>
      <c r="H85" s="16"/>
      <c r="I85" s="14"/>
    </row>
    <row r="86" customFormat="false" ht="15" hidden="false" customHeight="false" outlineLevel="0" collapsed="false">
      <c r="A86" s="17" t="n">
        <v>32</v>
      </c>
      <c r="B86" s="18" t="n">
        <f aca="false">IF($B$3="","",$B$3+A86-1)</f>
        <v>46275</v>
      </c>
      <c r="C86" s="17" t="n">
        <v>2</v>
      </c>
      <c r="D86" s="19" t="s">
        <v>49</v>
      </c>
      <c r="E86" s="20" t="s">
        <v>79</v>
      </c>
      <c r="F86" s="17" t="s">
        <v>51</v>
      </c>
      <c r="G86" s="17" t="s">
        <v>52</v>
      </c>
      <c r="H86" s="21"/>
      <c r="I86" s="19"/>
    </row>
    <row r="87" customFormat="false" ht="15" hidden="false" customHeight="false" outlineLevel="0" collapsed="false">
      <c r="A87" s="17" t="n">
        <v>32</v>
      </c>
      <c r="B87" s="18" t="n">
        <f aca="false">IF($B$3="","",$B$3+A87-1)</f>
        <v>46275</v>
      </c>
      <c r="C87" s="17" t="n">
        <v>3</v>
      </c>
      <c r="D87" s="19" t="s">
        <v>57</v>
      </c>
      <c r="E87" s="20" t="s">
        <v>58</v>
      </c>
      <c r="F87" s="17" t="s">
        <v>51</v>
      </c>
      <c r="G87" s="17" t="s">
        <v>52</v>
      </c>
      <c r="H87" s="21"/>
      <c r="I87" s="19"/>
    </row>
    <row r="88" customFormat="false" ht="15" hidden="false" customHeight="false" outlineLevel="0" collapsed="false">
      <c r="A88" s="12" t="n">
        <v>33</v>
      </c>
      <c r="B88" s="13" t="n">
        <f aca="false">IF($B$3="","",$B$3+A88-1)</f>
        <v>46276</v>
      </c>
      <c r="C88" s="12" t="n">
        <v>1</v>
      </c>
      <c r="D88" s="14" t="s">
        <v>45</v>
      </c>
      <c r="E88" s="15" t="s">
        <v>83</v>
      </c>
      <c r="F88" s="12" t="s">
        <v>47</v>
      </c>
      <c r="G88" s="12" t="s">
        <v>121</v>
      </c>
      <c r="H88" s="16"/>
      <c r="I88" s="14"/>
    </row>
    <row r="89" customFormat="false" ht="15" hidden="false" customHeight="false" outlineLevel="0" collapsed="false">
      <c r="A89" s="12" t="n">
        <v>33</v>
      </c>
      <c r="B89" s="13" t="n">
        <f aca="false">IF($B$3="","",$B$3+A89-1)</f>
        <v>46276</v>
      </c>
      <c r="C89" s="12" t="n">
        <v>2</v>
      </c>
      <c r="D89" s="14" t="s">
        <v>92</v>
      </c>
      <c r="E89" s="15" t="s">
        <v>124</v>
      </c>
      <c r="F89" s="12" t="s">
        <v>47</v>
      </c>
      <c r="G89" s="12" t="s">
        <v>121</v>
      </c>
      <c r="H89" s="16"/>
      <c r="I89" s="14"/>
    </row>
    <row r="90" customFormat="false" ht="15" hidden="false" customHeight="false" outlineLevel="0" collapsed="false">
      <c r="A90" s="12" t="n">
        <v>33</v>
      </c>
      <c r="B90" s="13" t="n">
        <f aca="false">IF($B$3="","",$B$3+A90-1)</f>
        <v>46276</v>
      </c>
      <c r="C90" s="12" t="n">
        <v>3</v>
      </c>
      <c r="D90" s="14" t="s">
        <v>61</v>
      </c>
      <c r="E90" s="15" t="s">
        <v>125</v>
      </c>
      <c r="F90" s="12" t="s">
        <v>47</v>
      </c>
      <c r="G90" s="12" t="s">
        <v>121</v>
      </c>
      <c r="H90" s="16"/>
      <c r="I90" s="14"/>
    </row>
    <row r="91" customFormat="false" ht="15" hidden="false" customHeight="false" outlineLevel="0" collapsed="false">
      <c r="A91" s="12" t="n">
        <v>34</v>
      </c>
      <c r="B91" s="13" t="n">
        <f aca="false">IF($B$3="","",$B$3+A91-1)</f>
        <v>46277</v>
      </c>
      <c r="C91" s="12" t="n">
        <v>1</v>
      </c>
      <c r="D91" s="14" t="s">
        <v>45</v>
      </c>
      <c r="E91" s="15" t="s">
        <v>46</v>
      </c>
      <c r="F91" s="12" t="s">
        <v>47</v>
      </c>
      <c r="G91" s="12" t="s">
        <v>121</v>
      </c>
      <c r="H91" s="16"/>
      <c r="I91" s="14"/>
    </row>
    <row r="92" customFormat="false" ht="15" hidden="false" customHeight="false" outlineLevel="0" collapsed="false">
      <c r="A92" s="17" t="n">
        <v>34</v>
      </c>
      <c r="B92" s="18" t="n">
        <f aca="false">IF($B$3="","",$B$3+A92-1)</f>
        <v>46277</v>
      </c>
      <c r="C92" s="17" t="n">
        <v>2</v>
      </c>
      <c r="D92" s="19" t="s">
        <v>57</v>
      </c>
      <c r="E92" s="20" t="s">
        <v>60</v>
      </c>
      <c r="F92" s="17" t="s">
        <v>51</v>
      </c>
      <c r="G92" s="17" t="s">
        <v>52</v>
      </c>
      <c r="H92" s="21"/>
      <c r="I92" s="19"/>
    </row>
    <row r="93" customFormat="false" ht="15" hidden="false" customHeight="false" outlineLevel="0" collapsed="false">
      <c r="A93" s="17" t="n">
        <v>34</v>
      </c>
      <c r="B93" s="18" t="n">
        <f aca="false">IF($B$3="","",$B$3+A93-1)</f>
        <v>46277</v>
      </c>
      <c r="C93" s="17" t="n">
        <v>3</v>
      </c>
      <c r="D93" s="19" t="s">
        <v>49</v>
      </c>
      <c r="E93" s="20" t="s">
        <v>98</v>
      </c>
      <c r="F93" s="17" t="s">
        <v>51</v>
      </c>
      <c r="G93" s="17" t="s">
        <v>52</v>
      </c>
      <c r="H93" s="21"/>
      <c r="I93" s="19"/>
    </row>
    <row r="94" customFormat="false" ht="15" hidden="false" customHeight="false" outlineLevel="0" collapsed="false">
      <c r="A94" s="12" t="n">
        <v>35</v>
      </c>
      <c r="B94" s="13" t="n">
        <f aca="false">IF($B$3="","",$B$3+A94-1)</f>
        <v>46278</v>
      </c>
      <c r="C94" s="12" t="n">
        <v>1</v>
      </c>
      <c r="D94" s="14" t="s">
        <v>45</v>
      </c>
      <c r="E94" s="15" t="s">
        <v>53</v>
      </c>
      <c r="F94" s="12" t="s">
        <v>47</v>
      </c>
      <c r="G94" s="12" t="s">
        <v>121</v>
      </c>
      <c r="H94" s="16"/>
      <c r="I94" s="14"/>
    </row>
    <row r="95" customFormat="false" ht="15" hidden="false" customHeight="false" outlineLevel="0" collapsed="false">
      <c r="A95" s="12" t="n">
        <v>35</v>
      </c>
      <c r="B95" s="13" t="n">
        <f aca="false">IF($B$3="","",$B$3+A95-1)</f>
        <v>46278</v>
      </c>
      <c r="C95" s="12" t="n">
        <v>2</v>
      </c>
      <c r="D95" s="14" t="s">
        <v>61</v>
      </c>
      <c r="E95" s="15" t="s">
        <v>126</v>
      </c>
      <c r="F95" s="12" t="s">
        <v>47</v>
      </c>
      <c r="G95" s="12" t="s">
        <v>121</v>
      </c>
      <c r="H95" s="16"/>
      <c r="I95" s="14"/>
    </row>
    <row r="96" customFormat="false" ht="15" hidden="false" customHeight="false" outlineLevel="0" collapsed="false">
      <c r="A96" s="12" t="n">
        <v>35</v>
      </c>
      <c r="B96" s="13" t="n">
        <f aca="false">IF($B$3="","",$B$3+A96-1)</f>
        <v>46278</v>
      </c>
      <c r="C96" s="12" t="n">
        <v>3</v>
      </c>
      <c r="D96" s="14" t="s">
        <v>61</v>
      </c>
      <c r="E96" s="15" t="s">
        <v>127</v>
      </c>
      <c r="F96" s="12" t="s">
        <v>47</v>
      </c>
      <c r="G96" s="12" t="s">
        <v>121</v>
      </c>
      <c r="H96" s="16"/>
      <c r="I96" s="14"/>
    </row>
    <row r="97" customFormat="false" ht="15" hidden="false" customHeight="false" outlineLevel="0" collapsed="false">
      <c r="A97" s="12" t="n">
        <v>36</v>
      </c>
      <c r="B97" s="13" t="n">
        <f aca="false">IF($B$3="","",$B$3+A97-1)</f>
        <v>46279</v>
      </c>
      <c r="C97" s="12" t="n">
        <v>1</v>
      </c>
      <c r="D97" s="14" t="s">
        <v>119</v>
      </c>
      <c r="E97" s="15" t="s">
        <v>128</v>
      </c>
      <c r="F97" s="12" t="s">
        <v>47</v>
      </c>
      <c r="G97" s="12" t="s">
        <v>129</v>
      </c>
      <c r="H97" s="16"/>
      <c r="I97" s="22" t="s">
        <v>122</v>
      </c>
    </row>
    <row r="98" customFormat="false" ht="15" hidden="false" customHeight="false" outlineLevel="0" collapsed="false">
      <c r="A98" s="17" t="n">
        <v>36</v>
      </c>
      <c r="B98" s="18" t="n">
        <f aca="false">IF($B$3="","",$B$3+A98-1)</f>
        <v>46279</v>
      </c>
      <c r="C98" s="17" t="n">
        <v>2</v>
      </c>
      <c r="D98" s="19" t="s">
        <v>57</v>
      </c>
      <c r="E98" s="20" t="s">
        <v>64</v>
      </c>
      <c r="F98" s="17" t="s">
        <v>51</v>
      </c>
      <c r="G98" s="17" t="s">
        <v>52</v>
      </c>
      <c r="H98" s="21"/>
      <c r="I98" s="19"/>
    </row>
    <row r="99" customFormat="false" ht="15" hidden="false" customHeight="false" outlineLevel="0" collapsed="false">
      <c r="A99" s="12" t="n">
        <v>36</v>
      </c>
      <c r="B99" s="13" t="n">
        <f aca="false">IF($B$3="","",$B$3+A99-1)</f>
        <v>46279</v>
      </c>
      <c r="C99" s="12" t="n">
        <v>3</v>
      </c>
      <c r="D99" s="14" t="s">
        <v>101</v>
      </c>
      <c r="E99" s="15" t="s">
        <v>130</v>
      </c>
      <c r="F99" s="12" t="s">
        <v>47</v>
      </c>
      <c r="G99" s="12" t="s">
        <v>129</v>
      </c>
      <c r="H99" s="16"/>
      <c r="I99" s="14"/>
    </row>
    <row r="100" customFormat="false" ht="15" hidden="false" customHeight="false" outlineLevel="0" collapsed="false">
      <c r="A100" s="12" t="n">
        <v>36</v>
      </c>
      <c r="B100" s="13" t="n">
        <f aca="false">IF($B$3="","",$B$3+A100-1)</f>
        <v>46279</v>
      </c>
      <c r="C100" s="12" t="n">
        <v>4</v>
      </c>
      <c r="D100" s="14" t="s">
        <v>61</v>
      </c>
      <c r="E100" s="15" t="s">
        <v>62</v>
      </c>
      <c r="F100" s="12" t="s">
        <v>47</v>
      </c>
      <c r="G100" s="12" t="s">
        <v>129</v>
      </c>
      <c r="H100" s="16"/>
      <c r="I100" s="14"/>
    </row>
    <row r="101" customFormat="false" ht="15" hidden="false" customHeight="false" outlineLevel="0" collapsed="false">
      <c r="A101" s="12" t="n">
        <v>37</v>
      </c>
      <c r="B101" s="13" t="n">
        <f aca="false">IF($B$3="","",$B$3+A101-1)</f>
        <v>46280</v>
      </c>
      <c r="C101" s="12" t="n">
        <v>1</v>
      </c>
      <c r="D101" s="14" t="s">
        <v>84</v>
      </c>
      <c r="E101" s="15" t="s">
        <v>131</v>
      </c>
      <c r="F101" s="12" t="s">
        <v>47</v>
      </c>
      <c r="G101" s="12" t="s">
        <v>129</v>
      </c>
      <c r="H101" s="16"/>
      <c r="I101" s="14"/>
    </row>
    <row r="102" customFormat="false" ht="15" hidden="false" customHeight="false" outlineLevel="0" collapsed="false">
      <c r="A102" s="17" t="n">
        <v>37</v>
      </c>
      <c r="B102" s="18" t="n">
        <f aca="false">IF($B$3="","",$B$3+A102-1)</f>
        <v>46280</v>
      </c>
      <c r="C102" s="17" t="n">
        <v>2</v>
      </c>
      <c r="D102" s="19" t="s">
        <v>57</v>
      </c>
      <c r="E102" s="20" t="s">
        <v>67</v>
      </c>
      <c r="F102" s="17" t="s">
        <v>51</v>
      </c>
      <c r="G102" s="17" t="s">
        <v>52</v>
      </c>
      <c r="H102" s="21"/>
      <c r="I102" s="19"/>
    </row>
    <row r="103" customFormat="false" ht="15" hidden="false" customHeight="false" outlineLevel="0" collapsed="false">
      <c r="A103" s="12" t="n">
        <v>37</v>
      </c>
      <c r="B103" s="13" t="n">
        <f aca="false">IF($B$3="","",$B$3+A103-1)</f>
        <v>46280</v>
      </c>
      <c r="C103" s="12" t="n">
        <v>3</v>
      </c>
      <c r="D103" s="14" t="s">
        <v>45</v>
      </c>
      <c r="E103" s="15" t="s">
        <v>56</v>
      </c>
      <c r="F103" s="12" t="s">
        <v>47</v>
      </c>
      <c r="G103" s="12" t="s">
        <v>129</v>
      </c>
      <c r="H103" s="16"/>
      <c r="I103" s="14"/>
    </row>
    <row r="104" customFormat="false" ht="15" hidden="false" customHeight="false" outlineLevel="0" collapsed="false">
      <c r="A104" s="12" t="n">
        <v>37</v>
      </c>
      <c r="B104" s="13" t="n">
        <f aca="false">IF($B$3="","",$B$3+A104-1)</f>
        <v>46280</v>
      </c>
      <c r="C104" s="12" t="n">
        <v>4</v>
      </c>
      <c r="D104" s="14" t="s">
        <v>86</v>
      </c>
      <c r="E104" s="15" t="s">
        <v>132</v>
      </c>
      <c r="F104" s="12" t="s">
        <v>47</v>
      </c>
      <c r="G104" s="12" t="s">
        <v>129</v>
      </c>
      <c r="H104" s="16"/>
      <c r="I104" s="14"/>
    </row>
    <row r="105" customFormat="false" ht="15" hidden="false" customHeight="false" outlineLevel="0" collapsed="false">
      <c r="A105" s="12" t="n">
        <v>38</v>
      </c>
      <c r="B105" s="13" t="n">
        <f aca="false">IF($B$3="","",$B$3+A105-1)</f>
        <v>46281</v>
      </c>
      <c r="C105" s="12" t="n">
        <v>1</v>
      </c>
      <c r="D105" s="14" t="s">
        <v>84</v>
      </c>
      <c r="E105" s="15" t="s">
        <v>85</v>
      </c>
      <c r="F105" s="12" t="s">
        <v>47</v>
      </c>
      <c r="G105" s="12" t="s">
        <v>129</v>
      </c>
      <c r="H105" s="16"/>
      <c r="I105" s="14"/>
    </row>
    <row r="106" customFormat="false" ht="15" hidden="false" customHeight="false" outlineLevel="0" collapsed="false">
      <c r="A106" s="17" t="n">
        <v>38</v>
      </c>
      <c r="B106" s="18" t="n">
        <f aca="false">IF($B$3="","",$B$3+A106-1)</f>
        <v>46281</v>
      </c>
      <c r="C106" s="17" t="n">
        <v>2</v>
      </c>
      <c r="D106" s="19" t="s">
        <v>49</v>
      </c>
      <c r="E106" s="20" t="s">
        <v>100</v>
      </c>
      <c r="F106" s="17" t="s">
        <v>51</v>
      </c>
      <c r="G106" s="17" t="s">
        <v>52</v>
      </c>
      <c r="H106" s="21"/>
      <c r="I106" s="19"/>
    </row>
    <row r="107" customFormat="false" ht="15" hidden="false" customHeight="false" outlineLevel="0" collapsed="false">
      <c r="A107" s="12" t="n">
        <v>38</v>
      </c>
      <c r="B107" s="13" t="n">
        <f aca="false">IF($B$3="","",$B$3+A107-1)</f>
        <v>46281</v>
      </c>
      <c r="C107" s="12" t="n">
        <v>3</v>
      </c>
      <c r="D107" s="14" t="s">
        <v>92</v>
      </c>
      <c r="E107" s="15" t="s">
        <v>133</v>
      </c>
      <c r="F107" s="12" t="s">
        <v>47</v>
      </c>
      <c r="G107" s="12" t="s">
        <v>129</v>
      </c>
      <c r="H107" s="16"/>
      <c r="I107" s="14"/>
    </row>
    <row r="108" customFormat="false" ht="15" hidden="false" customHeight="false" outlineLevel="0" collapsed="false">
      <c r="A108" s="12" t="n">
        <v>38</v>
      </c>
      <c r="B108" s="13" t="n">
        <f aca="false">IF($B$3="","",$B$3+A108-1)</f>
        <v>46281</v>
      </c>
      <c r="C108" s="12" t="n">
        <v>4</v>
      </c>
      <c r="D108" s="14" t="s">
        <v>86</v>
      </c>
      <c r="E108" s="15" t="s">
        <v>134</v>
      </c>
      <c r="F108" s="12" t="s">
        <v>47</v>
      </c>
      <c r="G108" s="12" t="s">
        <v>129</v>
      </c>
      <c r="H108" s="16"/>
      <c r="I108" s="14"/>
    </row>
    <row r="109" customFormat="false" ht="15" hidden="false" customHeight="false" outlineLevel="0" collapsed="false">
      <c r="A109" s="17" t="n">
        <v>39</v>
      </c>
      <c r="B109" s="18" t="n">
        <f aca="false">IF($B$3="","",$B$3+A109-1)</f>
        <v>46282</v>
      </c>
      <c r="C109" s="17" t="n">
        <v>1</v>
      </c>
      <c r="D109" s="19" t="s">
        <v>57</v>
      </c>
      <c r="E109" s="20" t="s">
        <v>70</v>
      </c>
      <c r="F109" s="17" t="s">
        <v>51</v>
      </c>
      <c r="G109" s="17" t="s">
        <v>52</v>
      </c>
      <c r="H109" s="21"/>
      <c r="I109" s="19"/>
    </row>
    <row r="110" customFormat="false" ht="15" hidden="false" customHeight="false" outlineLevel="0" collapsed="false">
      <c r="A110" s="12" t="n">
        <v>39</v>
      </c>
      <c r="B110" s="13" t="n">
        <f aca="false">IF($B$3="","",$B$3+A110-1)</f>
        <v>46282</v>
      </c>
      <c r="C110" s="12" t="n">
        <v>2</v>
      </c>
      <c r="D110" s="14" t="s">
        <v>96</v>
      </c>
      <c r="E110" s="15" t="s">
        <v>135</v>
      </c>
      <c r="F110" s="12" t="s">
        <v>47</v>
      </c>
      <c r="G110" s="12" t="s">
        <v>129</v>
      </c>
      <c r="H110" s="16"/>
      <c r="I110" s="14"/>
    </row>
    <row r="111" customFormat="false" ht="15" hidden="false" customHeight="false" outlineLevel="0" collapsed="false">
      <c r="A111" s="12" t="n">
        <v>39</v>
      </c>
      <c r="B111" s="13" t="n">
        <f aca="false">IF($B$3="","",$B$3+A111-1)</f>
        <v>46282</v>
      </c>
      <c r="C111" s="12" t="n">
        <v>3</v>
      </c>
      <c r="D111" s="14" t="s">
        <v>45</v>
      </c>
      <c r="E111" s="15" t="s">
        <v>59</v>
      </c>
      <c r="F111" s="12" t="s">
        <v>47</v>
      </c>
      <c r="G111" s="12" t="s">
        <v>129</v>
      </c>
      <c r="H111" s="16"/>
      <c r="I111" s="14"/>
    </row>
    <row r="112" customFormat="false" ht="15" hidden="false" customHeight="false" outlineLevel="0" collapsed="false">
      <c r="A112" s="12" t="n">
        <v>39</v>
      </c>
      <c r="B112" s="13" t="n">
        <f aca="false">IF($B$3="","",$B$3+A112-1)</f>
        <v>46282</v>
      </c>
      <c r="C112" s="12" t="n">
        <v>4</v>
      </c>
      <c r="D112" s="14" t="s">
        <v>136</v>
      </c>
      <c r="E112" s="15" t="s">
        <v>137</v>
      </c>
      <c r="F112" s="12" t="s">
        <v>47</v>
      </c>
      <c r="G112" s="12" t="s">
        <v>129</v>
      </c>
      <c r="H112" s="16"/>
      <c r="I112" s="22" t="s">
        <v>122</v>
      </c>
    </row>
    <row r="113" customFormat="false" ht="15" hidden="false" customHeight="false" outlineLevel="0" collapsed="false">
      <c r="A113" s="12" t="n">
        <v>40</v>
      </c>
      <c r="B113" s="13" t="n">
        <f aca="false">IF($B$3="","",$B$3+A113-1)</f>
        <v>46283</v>
      </c>
      <c r="C113" s="12" t="n">
        <v>1</v>
      </c>
      <c r="D113" s="14" t="s">
        <v>45</v>
      </c>
      <c r="E113" s="15" t="s">
        <v>69</v>
      </c>
      <c r="F113" s="12" t="s">
        <v>47</v>
      </c>
      <c r="G113" s="12" t="s">
        <v>129</v>
      </c>
      <c r="H113" s="16"/>
      <c r="I113" s="14"/>
    </row>
    <row r="114" customFormat="false" ht="15" hidden="false" customHeight="false" outlineLevel="0" collapsed="false">
      <c r="A114" s="12" t="n">
        <v>40</v>
      </c>
      <c r="B114" s="13" t="n">
        <f aca="false">IF($B$3="","",$B$3+A114-1)</f>
        <v>46283</v>
      </c>
      <c r="C114" s="12" t="n">
        <v>2</v>
      </c>
      <c r="D114" s="14" t="s">
        <v>54</v>
      </c>
      <c r="E114" s="15" t="s">
        <v>138</v>
      </c>
      <c r="F114" s="12" t="s">
        <v>47</v>
      </c>
      <c r="G114" s="12" t="s">
        <v>129</v>
      </c>
      <c r="H114" s="16"/>
      <c r="I114" s="14"/>
    </row>
    <row r="115" customFormat="false" ht="15" hidden="false" customHeight="false" outlineLevel="0" collapsed="false">
      <c r="A115" s="17" t="n">
        <v>40</v>
      </c>
      <c r="B115" s="18" t="n">
        <f aca="false">IF($B$3="","",$B$3+A115-1)</f>
        <v>46283</v>
      </c>
      <c r="C115" s="17" t="n">
        <v>3</v>
      </c>
      <c r="D115" s="19" t="s">
        <v>49</v>
      </c>
      <c r="E115" s="20" t="s">
        <v>50</v>
      </c>
      <c r="F115" s="17" t="s">
        <v>51</v>
      </c>
      <c r="G115" s="17" t="s">
        <v>52</v>
      </c>
      <c r="H115" s="21"/>
      <c r="I115" s="19"/>
    </row>
    <row r="116" customFormat="false" ht="15" hidden="false" customHeight="false" outlineLevel="0" collapsed="false">
      <c r="A116" s="12" t="n">
        <v>40</v>
      </c>
      <c r="B116" s="13" t="n">
        <f aca="false">IF($B$3="","",$B$3+A116-1)</f>
        <v>46283</v>
      </c>
      <c r="C116" s="12" t="n">
        <v>4</v>
      </c>
      <c r="D116" s="14" t="s">
        <v>61</v>
      </c>
      <c r="E116" s="15" t="s">
        <v>89</v>
      </c>
      <c r="F116" s="12" t="s">
        <v>47</v>
      </c>
      <c r="G116" s="12" t="s">
        <v>129</v>
      </c>
      <c r="H116" s="16"/>
      <c r="I116" s="14"/>
    </row>
    <row r="117" customFormat="false" ht="15" hidden="false" customHeight="false" outlineLevel="0" collapsed="false">
      <c r="A117" s="12" t="n">
        <v>41</v>
      </c>
      <c r="B117" s="13" t="n">
        <f aca="false">IF($B$3="","",$B$3+A117-1)</f>
        <v>46284</v>
      </c>
      <c r="C117" s="12" t="n">
        <v>1</v>
      </c>
      <c r="D117" s="14" t="s">
        <v>45</v>
      </c>
      <c r="E117" s="15" t="s">
        <v>71</v>
      </c>
      <c r="F117" s="12" t="s">
        <v>47</v>
      </c>
      <c r="G117" s="12" t="s">
        <v>139</v>
      </c>
      <c r="H117" s="16"/>
      <c r="I117" s="14"/>
    </row>
    <row r="118" customFormat="false" ht="15" hidden="false" customHeight="false" outlineLevel="0" collapsed="false">
      <c r="A118" s="17" t="n">
        <v>41</v>
      </c>
      <c r="B118" s="18" t="n">
        <f aca="false">IF($B$3="","",$B$3+A118-1)</f>
        <v>46284</v>
      </c>
      <c r="C118" s="17" t="n">
        <v>2</v>
      </c>
      <c r="D118" s="19" t="s">
        <v>49</v>
      </c>
      <c r="E118" s="20" t="s">
        <v>63</v>
      </c>
      <c r="F118" s="17" t="s">
        <v>51</v>
      </c>
      <c r="G118" s="17" t="s">
        <v>52</v>
      </c>
      <c r="H118" s="21"/>
      <c r="I118" s="19"/>
    </row>
    <row r="119" customFormat="false" ht="15" hidden="false" customHeight="false" outlineLevel="0" collapsed="false">
      <c r="A119" s="12" t="n">
        <v>41</v>
      </c>
      <c r="B119" s="13" t="n">
        <f aca="false">IF($B$3="","",$B$3+A119-1)</f>
        <v>46284</v>
      </c>
      <c r="C119" s="12" t="n">
        <v>3</v>
      </c>
      <c r="D119" s="14" t="s">
        <v>61</v>
      </c>
      <c r="E119" s="15" t="s">
        <v>99</v>
      </c>
      <c r="F119" s="12" t="s">
        <v>47</v>
      </c>
      <c r="G119" s="12" t="s">
        <v>139</v>
      </c>
      <c r="H119" s="16"/>
      <c r="I119" s="14"/>
    </row>
    <row r="120" customFormat="false" ht="15" hidden="false" customHeight="false" outlineLevel="0" collapsed="false">
      <c r="A120" s="12" t="n">
        <v>41</v>
      </c>
      <c r="B120" s="13" t="n">
        <f aca="false">IF($B$3="","",$B$3+A120-1)</f>
        <v>46284</v>
      </c>
      <c r="C120" s="12" t="n">
        <v>4</v>
      </c>
      <c r="D120" s="14" t="s">
        <v>101</v>
      </c>
      <c r="E120" s="15" t="s">
        <v>140</v>
      </c>
      <c r="F120" s="12" t="s">
        <v>47</v>
      </c>
      <c r="G120" s="12" t="s">
        <v>139</v>
      </c>
      <c r="H120" s="16"/>
      <c r="I120" s="14"/>
    </row>
    <row r="121" customFormat="false" ht="15" hidden="false" customHeight="false" outlineLevel="0" collapsed="false">
      <c r="A121" s="17" t="n">
        <v>42</v>
      </c>
      <c r="B121" s="18" t="n">
        <f aca="false">IF($B$3="","",$B$3+A121-1)</f>
        <v>46285</v>
      </c>
      <c r="C121" s="17" t="n">
        <v>1</v>
      </c>
      <c r="D121" s="19" t="s">
        <v>49</v>
      </c>
      <c r="E121" s="20" t="s">
        <v>68</v>
      </c>
      <c r="F121" s="17" t="s">
        <v>51</v>
      </c>
      <c r="G121" s="17" t="s">
        <v>52</v>
      </c>
      <c r="H121" s="21"/>
      <c r="I121" s="19"/>
    </row>
    <row r="122" customFormat="false" ht="15" hidden="false" customHeight="false" outlineLevel="0" collapsed="false">
      <c r="A122" s="17" t="n">
        <v>42</v>
      </c>
      <c r="B122" s="18" t="n">
        <f aca="false">IF($B$3="","",$B$3+A122-1)</f>
        <v>46285</v>
      </c>
      <c r="C122" s="17" t="n">
        <v>2</v>
      </c>
      <c r="D122" s="19" t="s">
        <v>57</v>
      </c>
      <c r="E122" s="20" t="s">
        <v>73</v>
      </c>
      <c r="F122" s="17" t="s">
        <v>51</v>
      </c>
      <c r="G122" s="17" t="s">
        <v>52</v>
      </c>
      <c r="H122" s="21"/>
      <c r="I122" s="19"/>
    </row>
    <row r="123" customFormat="false" ht="15" hidden="false" customHeight="false" outlineLevel="0" collapsed="false">
      <c r="A123" s="12" t="n">
        <v>42</v>
      </c>
      <c r="B123" s="13" t="n">
        <f aca="false">IF($B$3="","",$B$3+A123-1)</f>
        <v>46285</v>
      </c>
      <c r="C123" s="12" t="n">
        <v>3</v>
      </c>
      <c r="D123" s="14" t="s">
        <v>96</v>
      </c>
      <c r="E123" s="15" t="s">
        <v>141</v>
      </c>
      <c r="F123" s="12" t="s">
        <v>47</v>
      </c>
      <c r="G123" s="12" t="s">
        <v>139</v>
      </c>
      <c r="H123" s="16"/>
      <c r="I123" s="14"/>
    </row>
    <row r="124" customFormat="false" ht="15" hidden="false" customHeight="false" outlineLevel="0" collapsed="false">
      <c r="A124" s="12" t="n">
        <v>42</v>
      </c>
      <c r="B124" s="13" t="n">
        <f aca="false">IF($B$3="","",$B$3+A124-1)</f>
        <v>46285</v>
      </c>
      <c r="C124" s="12" t="n">
        <v>4</v>
      </c>
      <c r="D124" s="14" t="s">
        <v>119</v>
      </c>
      <c r="E124" s="15" t="s">
        <v>142</v>
      </c>
      <c r="F124" s="12" t="s">
        <v>47</v>
      </c>
      <c r="G124" s="12" t="s">
        <v>139</v>
      </c>
      <c r="H124" s="16"/>
      <c r="I124" s="22" t="s">
        <v>122</v>
      </c>
    </row>
    <row r="125" customFormat="false" ht="15" hidden="false" customHeight="false" outlineLevel="0" collapsed="false">
      <c r="A125" s="17" t="n">
        <v>43</v>
      </c>
      <c r="B125" s="18" t="n">
        <f aca="false">IF($B$3="","",$B$3+A125-1)</f>
        <v>46286</v>
      </c>
      <c r="C125" s="17" t="n">
        <v>1</v>
      </c>
      <c r="D125" s="19" t="s">
        <v>49</v>
      </c>
      <c r="E125" s="20" t="s">
        <v>72</v>
      </c>
      <c r="F125" s="17" t="s">
        <v>51</v>
      </c>
      <c r="G125" s="17" t="s">
        <v>52</v>
      </c>
      <c r="H125" s="21"/>
      <c r="I125" s="19"/>
    </row>
    <row r="126" customFormat="false" ht="15" hidden="false" customHeight="false" outlineLevel="0" collapsed="false">
      <c r="A126" s="12" t="n">
        <v>43</v>
      </c>
      <c r="B126" s="13" t="n">
        <f aca="false">IF($B$3="","",$B$3+A126-1)</f>
        <v>46286</v>
      </c>
      <c r="C126" s="12" t="n">
        <v>2</v>
      </c>
      <c r="D126" s="14" t="s">
        <v>45</v>
      </c>
      <c r="E126" s="15" t="s">
        <v>74</v>
      </c>
      <c r="F126" s="12" t="s">
        <v>47</v>
      </c>
      <c r="G126" s="12" t="s">
        <v>139</v>
      </c>
      <c r="H126" s="16"/>
      <c r="I126" s="14"/>
    </row>
    <row r="127" customFormat="false" ht="15" hidden="false" customHeight="false" outlineLevel="0" collapsed="false">
      <c r="A127" s="12" t="n">
        <v>43</v>
      </c>
      <c r="B127" s="13" t="n">
        <f aca="false">IF($B$3="","",$B$3+A127-1)</f>
        <v>46286</v>
      </c>
      <c r="C127" s="12" t="n">
        <v>3</v>
      </c>
      <c r="D127" s="14" t="s">
        <v>86</v>
      </c>
      <c r="E127" s="15" t="s">
        <v>143</v>
      </c>
      <c r="F127" s="12" t="s">
        <v>47</v>
      </c>
      <c r="G127" s="12" t="s">
        <v>139</v>
      </c>
      <c r="H127" s="16"/>
      <c r="I127" s="14"/>
    </row>
    <row r="128" customFormat="false" ht="15" hidden="false" customHeight="false" outlineLevel="0" collapsed="false">
      <c r="A128" s="17" t="n">
        <v>43</v>
      </c>
      <c r="B128" s="18" t="n">
        <f aca="false">IF($B$3="","",$B$3+A128-1)</f>
        <v>46286</v>
      </c>
      <c r="C128" s="17" t="n">
        <v>4</v>
      </c>
      <c r="D128" s="19" t="s">
        <v>57</v>
      </c>
      <c r="E128" s="20" t="s">
        <v>77</v>
      </c>
      <c r="F128" s="17" t="s">
        <v>51</v>
      </c>
      <c r="G128" s="17" t="s">
        <v>52</v>
      </c>
      <c r="H128" s="21"/>
      <c r="I128" s="19"/>
    </row>
    <row r="129" customFormat="false" ht="15" hidden="false" customHeight="false" outlineLevel="0" collapsed="false">
      <c r="A129" s="12" t="n">
        <v>44</v>
      </c>
      <c r="B129" s="13" t="n">
        <f aca="false">IF($B$3="","",$B$3+A129-1)</f>
        <v>46287</v>
      </c>
      <c r="C129" s="12" t="n">
        <v>1</v>
      </c>
      <c r="D129" s="14" t="s">
        <v>45</v>
      </c>
      <c r="E129" s="15" t="s">
        <v>75</v>
      </c>
      <c r="F129" s="12" t="s">
        <v>47</v>
      </c>
      <c r="G129" s="12" t="s">
        <v>139</v>
      </c>
      <c r="H129" s="16"/>
      <c r="I129" s="14"/>
    </row>
    <row r="130" customFormat="false" ht="15" hidden="false" customHeight="false" outlineLevel="0" collapsed="false">
      <c r="A130" s="12" t="n">
        <v>44</v>
      </c>
      <c r="B130" s="13" t="n">
        <f aca="false">IF($B$3="","",$B$3+A130-1)</f>
        <v>46287</v>
      </c>
      <c r="C130" s="12" t="n">
        <v>2</v>
      </c>
      <c r="D130" s="14" t="s">
        <v>86</v>
      </c>
      <c r="E130" s="15" t="s">
        <v>144</v>
      </c>
      <c r="F130" s="12" t="s">
        <v>47</v>
      </c>
      <c r="G130" s="12" t="s">
        <v>139</v>
      </c>
      <c r="H130" s="16"/>
      <c r="I130" s="14"/>
    </row>
    <row r="131" customFormat="false" ht="15" hidden="false" customHeight="false" outlineLevel="0" collapsed="false">
      <c r="A131" s="12" t="n">
        <v>44</v>
      </c>
      <c r="B131" s="13" t="n">
        <f aca="false">IF($B$3="","",$B$3+A131-1)</f>
        <v>46287</v>
      </c>
      <c r="C131" s="12" t="n">
        <v>3</v>
      </c>
      <c r="D131" s="14" t="s">
        <v>119</v>
      </c>
      <c r="E131" s="15" t="s">
        <v>145</v>
      </c>
      <c r="F131" s="12" t="s">
        <v>47</v>
      </c>
      <c r="G131" s="12" t="s">
        <v>139</v>
      </c>
      <c r="H131" s="16"/>
      <c r="I131" s="22" t="s">
        <v>122</v>
      </c>
    </row>
    <row r="132" customFormat="false" ht="15" hidden="false" customHeight="false" outlineLevel="0" collapsed="false">
      <c r="A132" s="12" t="n">
        <v>44</v>
      </c>
      <c r="B132" s="13" t="n">
        <f aca="false">IF($B$3="","",$B$3+A132-1)</f>
        <v>46287</v>
      </c>
      <c r="C132" s="12" t="n">
        <v>4</v>
      </c>
      <c r="D132" s="14" t="s">
        <v>101</v>
      </c>
      <c r="E132" s="15" t="s">
        <v>146</v>
      </c>
      <c r="F132" s="12" t="s">
        <v>47</v>
      </c>
      <c r="G132" s="12" t="s">
        <v>139</v>
      </c>
      <c r="H132" s="16"/>
      <c r="I132" s="14"/>
    </row>
    <row r="133" customFormat="false" ht="15" hidden="false" customHeight="false" outlineLevel="0" collapsed="false">
      <c r="A133" s="12" t="n">
        <v>45</v>
      </c>
      <c r="B133" s="13" t="n">
        <f aca="false">IF($B$3="","",$B$3+A133-1)</f>
        <v>46288</v>
      </c>
      <c r="C133" s="12" t="n">
        <v>1</v>
      </c>
      <c r="D133" s="14" t="s">
        <v>45</v>
      </c>
      <c r="E133" s="15" t="s">
        <v>78</v>
      </c>
      <c r="F133" s="12" t="s">
        <v>47</v>
      </c>
      <c r="G133" s="12" t="s">
        <v>139</v>
      </c>
      <c r="H133" s="16"/>
      <c r="I133" s="14"/>
    </row>
    <row r="134" customFormat="false" ht="15" hidden="false" customHeight="false" outlineLevel="0" collapsed="false">
      <c r="A134" s="12" t="n">
        <v>45</v>
      </c>
      <c r="B134" s="13" t="n">
        <f aca="false">IF($B$3="","",$B$3+A134-1)</f>
        <v>46288</v>
      </c>
      <c r="C134" s="12" t="n">
        <v>2</v>
      </c>
      <c r="D134" s="14" t="s">
        <v>61</v>
      </c>
      <c r="E134" s="15" t="s">
        <v>104</v>
      </c>
      <c r="F134" s="12" t="s">
        <v>47</v>
      </c>
      <c r="G134" s="12" t="s">
        <v>139</v>
      </c>
      <c r="H134" s="16"/>
      <c r="I134" s="14"/>
    </row>
    <row r="135" customFormat="false" ht="15" hidden="false" customHeight="false" outlineLevel="0" collapsed="false">
      <c r="A135" s="12" t="n">
        <v>45</v>
      </c>
      <c r="B135" s="13" t="n">
        <f aca="false">IF($B$3="","",$B$3+A135-1)</f>
        <v>46288</v>
      </c>
      <c r="C135" s="12" t="n">
        <v>3</v>
      </c>
      <c r="D135" s="14" t="s">
        <v>84</v>
      </c>
      <c r="E135" s="15" t="s">
        <v>91</v>
      </c>
      <c r="F135" s="12" t="s">
        <v>47</v>
      </c>
      <c r="G135" s="12" t="s">
        <v>139</v>
      </c>
      <c r="H135" s="16"/>
      <c r="I135" s="14"/>
    </row>
    <row r="136" customFormat="false" ht="15" hidden="false" customHeight="false" outlineLevel="0" collapsed="false">
      <c r="A136" s="12" t="n">
        <v>45</v>
      </c>
      <c r="B136" s="13" t="n">
        <f aca="false">IF($B$3="","",$B$3+A136-1)</f>
        <v>46288</v>
      </c>
      <c r="C136" s="12" t="n">
        <v>4</v>
      </c>
      <c r="D136" s="14" t="s">
        <v>136</v>
      </c>
      <c r="E136" s="15" t="s">
        <v>147</v>
      </c>
      <c r="F136" s="12" t="s">
        <v>47</v>
      </c>
      <c r="G136" s="12" t="s">
        <v>139</v>
      </c>
      <c r="H136" s="16"/>
      <c r="I136" s="22" t="s">
        <v>122</v>
      </c>
    </row>
    <row r="137" customFormat="false" ht="15" hidden="false" customHeight="false" outlineLevel="0" collapsed="false">
      <c r="A137" s="12" t="n">
        <v>46</v>
      </c>
      <c r="B137" s="13" t="n">
        <f aca="false">IF($B$3="","",$B$3+A137-1)</f>
        <v>46289</v>
      </c>
      <c r="C137" s="12" t="n">
        <v>1</v>
      </c>
      <c r="D137" s="14" t="s">
        <v>61</v>
      </c>
      <c r="E137" s="15" t="s">
        <v>123</v>
      </c>
      <c r="F137" s="12" t="s">
        <v>47</v>
      </c>
      <c r="G137" s="12" t="s">
        <v>148</v>
      </c>
      <c r="H137" s="16"/>
      <c r="I137" s="14"/>
    </row>
    <row r="138" customFormat="false" ht="15" hidden="false" customHeight="false" outlineLevel="0" collapsed="false">
      <c r="A138" s="12" t="n">
        <v>46</v>
      </c>
      <c r="B138" s="13" t="n">
        <f aca="false">IF($B$3="","",$B$3+A138-1)</f>
        <v>46289</v>
      </c>
      <c r="C138" s="12" t="n">
        <v>2</v>
      </c>
      <c r="D138" s="14" t="s">
        <v>54</v>
      </c>
      <c r="E138" s="15" t="s">
        <v>149</v>
      </c>
      <c r="F138" s="12" t="s">
        <v>47</v>
      </c>
      <c r="G138" s="12" t="s">
        <v>148</v>
      </c>
      <c r="H138" s="16"/>
      <c r="I138" s="14"/>
    </row>
    <row r="139" customFormat="false" ht="15" hidden="false" customHeight="false" outlineLevel="0" collapsed="false">
      <c r="A139" s="12" t="n">
        <v>46</v>
      </c>
      <c r="B139" s="13" t="n">
        <f aca="false">IF($B$3="","",$B$3+A139-1)</f>
        <v>46289</v>
      </c>
      <c r="C139" s="12" t="n">
        <v>3</v>
      </c>
      <c r="D139" s="14" t="s">
        <v>136</v>
      </c>
      <c r="E139" s="15" t="s">
        <v>150</v>
      </c>
      <c r="F139" s="12" t="s">
        <v>47</v>
      </c>
      <c r="G139" s="12" t="s">
        <v>148</v>
      </c>
      <c r="H139" s="16"/>
      <c r="I139" s="22" t="s">
        <v>122</v>
      </c>
    </row>
    <row r="140" customFormat="false" ht="15" hidden="false" customHeight="false" outlineLevel="0" collapsed="false">
      <c r="A140" s="12" t="n">
        <v>46</v>
      </c>
      <c r="B140" s="13" t="n">
        <f aca="false">IF($B$3="","",$B$3+A140-1)</f>
        <v>46289</v>
      </c>
      <c r="C140" s="12" t="n">
        <v>4</v>
      </c>
      <c r="D140" s="14" t="s">
        <v>92</v>
      </c>
      <c r="E140" s="15" t="s">
        <v>151</v>
      </c>
      <c r="F140" s="12" t="s">
        <v>47</v>
      </c>
      <c r="G140" s="12" t="s">
        <v>148</v>
      </c>
      <c r="H140" s="16"/>
      <c r="I140" s="14"/>
    </row>
    <row r="141" customFormat="false" ht="15" hidden="false" customHeight="false" outlineLevel="0" collapsed="false">
      <c r="A141" s="17" t="n">
        <v>47</v>
      </c>
      <c r="B141" s="18" t="n">
        <f aca="false">IF($B$3="","",$B$3+A141-1)</f>
        <v>46290</v>
      </c>
      <c r="C141" s="17" t="n">
        <v>1</v>
      </c>
      <c r="D141" s="19" t="s">
        <v>57</v>
      </c>
      <c r="E141" s="20" t="s">
        <v>81</v>
      </c>
      <c r="F141" s="17" t="s">
        <v>51</v>
      </c>
      <c r="G141" s="17" t="s">
        <v>52</v>
      </c>
      <c r="H141" s="21"/>
      <c r="I141" s="19"/>
    </row>
    <row r="142" customFormat="false" ht="15" hidden="false" customHeight="false" outlineLevel="0" collapsed="false">
      <c r="A142" s="12" t="n">
        <v>47</v>
      </c>
      <c r="B142" s="13" t="n">
        <f aca="false">IF($B$3="","",$B$3+A142-1)</f>
        <v>46290</v>
      </c>
      <c r="C142" s="12" t="n">
        <v>2</v>
      </c>
      <c r="D142" s="14" t="s">
        <v>119</v>
      </c>
      <c r="E142" s="15" t="s">
        <v>152</v>
      </c>
      <c r="F142" s="12" t="s">
        <v>47</v>
      </c>
      <c r="G142" s="12" t="s">
        <v>148</v>
      </c>
      <c r="H142" s="16"/>
      <c r="I142" s="22" t="s">
        <v>122</v>
      </c>
    </row>
    <row r="143" customFormat="false" ht="15" hidden="false" customHeight="false" outlineLevel="0" collapsed="false">
      <c r="A143" s="17" t="n">
        <v>47</v>
      </c>
      <c r="B143" s="18" t="n">
        <f aca="false">IF($B$3="","",$B$3+A143-1)</f>
        <v>46290</v>
      </c>
      <c r="C143" s="17" t="n">
        <v>3</v>
      </c>
      <c r="D143" s="19" t="s">
        <v>49</v>
      </c>
      <c r="E143" s="20" t="s">
        <v>79</v>
      </c>
      <c r="F143" s="17" t="s">
        <v>51</v>
      </c>
      <c r="G143" s="17" t="s">
        <v>52</v>
      </c>
      <c r="H143" s="21"/>
      <c r="I143" s="19"/>
    </row>
    <row r="144" customFormat="false" ht="15" hidden="false" customHeight="false" outlineLevel="0" collapsed="false">
      <c r="A144" s="12" t="n">
        <v>47</v>
      </c>
      <c r="B144" s="13" t="n">
        <f aca="false">IF($B$3="","",$B$3+A144-1)</f>
        <v>46290</v>
      </c>
      <c r="C144" s="12" t="n">
        <v>4</v>
      </c>
      <c r="D144" s="14" t="s">
        <v>92</v>
      </c>
      <c r="E144" s="15" t="s">
        <v>153</v>
      </c>
      <c r="F144" s="12" t="s">
        <v>47</v>
      </c>
      <c r="G144" s="12" t="s">
        <v>148</v>
      </c>
      <c r="H144" s="16"/>
      <c r="I144" s="14"/>
    </row>
    <row r="145" customFormat="false" ht="15" hidden="false" customHeight="false" outlineLevel="0" collapsed="false">
      <c r="A145" s="17" t="n">
        <v>48</v>
      </c>
      <c r="B145" s="18" t="n">
        <f aca="false">IF($B$3="","",$B$3+A145-1)</f>
        <v>46291</v>
      </c>
      <c r="C145" s="17" t="n">
        <v>1</v>
      </c>
      <c r="D145" s="19" t="s">
        <v>57</v>
      </c>
      <c r="E145" s="20" t="s">
        <v>58</v>
      </c>
      <c r="F145" s="17" t="s">
        <v>51</v>
      </c>
      <c r="G145" s="17" t="s">
        <v>52</v>
      </c>
      <c r="H145" s="21"/>
      <c r="I145" s="19"/>
    </row>
    <row r="146" customFormat="false" ht="15" hidden="false" customHeight="false" outlineLevel="0" collapsed="false">
      <c r="A146" s="12" t="n">
        <v>48</v>
      </c>
      <c r="B146" s="13" t="n">
        <f aca="false">IF($B$3="","",$B$3+A146-1)</f>
        <v>46291</v>
      </c>
      <c r="C146" s="12" t="n">
        <v>2</v>
      </c>
      <c r="D146" s="14" t="s">
        <v>84</v>
      </c>
      <c r="E146" s="15" t="s">
        <v>95</v>
      </c>
      <c r="F146" s="12" t="s">
        <v>47</v>
      </c>
      <c r="G146" s="12" t="s">
        <v>148</v>
      </c>
      <c r="H146" s="16"/>
      <c r="I146" s="14"/>
    </row>
    <row r="147" customFormat="false" ht="15" hidden="false" customHeight="false" outlineLevel="0" collapsed="false">
      <c r="A147" s="12" t="n">
        <v>48</v>
      </c>
      <c r="B147" s="13" t="n">
        <f aca="false">IF($B$3="","",$B$3+A147-1)</f>
        <v>46291</v>
      </c>
      <c r="C147" s="12" t="n">
        <v>3</v>
      </c>
      <c r="D147" s="14" t="s">
        <v>86</v>
      </c>
      <c r="E147" s="15" t="s">
        <v>154</v>
      </c>
      <c r="F147" s="12" t="s">
        <v>47</v>
      </c>
      <c r="G147" s="12" t="s">
        <v>148</v>
      </c>
      <c r="H147" s="16"/>
      <c r="I147" s="14"/>
    </row>
    <row r="148" customFormat="false" ht="15" hidden="false" customHeight="false" outlineLevel="0" collapsed="false">
      <c r="A148" s="12" t="n">
        <v>48</v>
      </c>
      <c r="B148" s="13" t="n">
        <f aca="false">IF($B$3="","",$B$3+A148-1)</f>
        <v>46291</v>
      </c>
      <c r="C148" s="12" t="n">
        <v>4</v>
      </c>
      <c r="D148" s="14" t="s">
        <v>101</v>
      </c>
      <c r="E148" s="15" t="s">
        <v>155</v>
      </c>
      <c r="F148" s="12" t="s">
        <v>47</v>
      </c>
      <c r="G148" s="12" t="s">
        <v>148</v>
      </c>
      <c r="H148" s="16"/>
      <c r="I148" s="14"/>
    </row>
    <row r="149" customFormat="false" ht="15" hidden="false" customHeight="false" outlineLevel="0" collapsed="false">
      <c r="A149" s="12" t="n">
        <v>49</v>
      </c>
      <c r="B149" s="13" t="n">
        <f aca="false">IF($B$3="","",$B$3+A149-1)</f>
        <v>46292</v>
      </c>
      <c r="C149" s="12" t="n">
        <v>1</v>
      </c>
      <c r="D149" s="14" t="s">
        <v>84</v>
      </c>
      <c r="E149" s="15" t="s">
        <v>107</v>
      </c>
      <c r="F149" s="12" t="s">
        <v>47</v>
      </c>
      <c r="G149" s="12" t="s">
        <v>148</v>
      </c>
      <c r="H149" s="16"/>
      <c r="I149" s="14"/>
    </row>
    <row r="150" customFormat="false" ht="15" hidden="false" customHeight="false" outlineLevel="0" collapsed="false">
      <c r="A150" s="17" t="n">
        <v>49</v>
      </c>
      <c r="B150" s="18" t="n">
        <f aca="false">IF($B$3="","",$B$3+A150-1)</f>
        <v>46292</v>
      </c>
      <c r="C150" s="17" t="n">
        <v>2</v>
      </c>
      <c r="D150" s="19" t="s">
        <v>57</v>
      </c>
      <c r="E150" s="20" t="s">
        <v>60</v>
      </c>
      <c r="F150" s="17" t="s">
        <v>51</v>
      </c>
      <c r="G150" s="17" t="s">
        <v>52</v>
      </c>
      <c r="H150" s="21"/>
      <c r="I150" s="19"/>
    </row>
    <row r="151" customFormat="false" ht="15" hidden="false" customHeight="false" outlineLevel="0" collapsed="false">
      <c r="A151" s="17" t="n">
        <v>49</v>
      </c>
      <c r="B151" s="18" t="n">
        <f aca="false">IF($B$3="","",$B$3+A151-1)</f>
        <v>46292</v>
      </c>
      <c r="C151" s="17" t="n">
        <v>3</v>
      </c>
      <c r="D151" s="19" t="s">
        <v>49</v>
      </c>
      <c r="E151" s="20" t="s">
        <v>98</v>
      </c>
      <c r="F151" s="17" t="s">
        <v>51</v>
      </c>
      <c r="G151" s="17" t="s">
        <v>52</v>
      </c>
      <c r="H151" s="21"/>
      <c r="I151" s="19"/>
    </row>
    <row r="152" customFormat="false" ht="15" hidden="false" customHeight="false" outlineLevel="0" collapsed="false">
      <c r="A152" s="12" t="n">
        <v>49</v>
      </c>
      <c r="B152" s="13" t="n">
        <f aca="false">IF($B$3="","",$B$3+A152-1)</f>
        <v>46292</v>
      </c>
      <c r="C152" s="12" t="n">
        <v>4</v>
      </c>
      <c r="D152" s="14" t="s">
        <v>54</v>
      </c>
      <c r="E152" s="15" t="s">
        <v>156</v>
      </c>
      <c r="F152" s="12" t="s">
        <v>47</v>
      </c>
      <c r="G152" s="12" t="s">
        <v>148</v>
      </c>
      <c r="H152" s="16"/>
      <c r="I152" s="14"/>
    </row>
    <row r="153" customFormat="false" ht="15" hidden="false" customHeight="false" outlineLevel="0" collapsed="false">
      <c r="A153" s="17" t="n">
        <v>50</v>
      </c>
      <c r="B153" s="18" t="n">
        <f aca="false">IF($B$3="","",$B$3+A153-1)</f>
        <v>46293</v>
      </c>
      <c r="C153" s="17" t="n">
        <v>1</v>
      </c>
      <c r="D153" s="19" t="s">
        <v>49</v>
      </c>
      <c r="E153" s="20" t="s">
        <v>100</v>
      </c>
      <c r="F153" s="17" t="s">
        <v>51</v>
      </c>
      <c r="G153" s="17" t="s">
        <v>52</v>
      </c>
      <c r="H153" s="21"/>
      <c r="I153" s="19"/>
    </row>
    <row r="154" customFormat="false" ht="15" hidden="false" customHeight="false" outlineLevel="0" collapsed="false">
      <c r="A154" s="12" t="n">
        <v>50</v>
      </c>
      <c r="B154" s="13" t="n">
        <f aca="false">IF($B$3="","",$B$3+A154-1)</f>
        <v>46293</v>
      </c>
      <c r="C154" s="12" t="n">
        <v>2</v>
      </c>
      <c r="D154" s="14" t="s">
        <v>45</v>
      </c>
      <c r="E154" s="15" t="s">
        <v>80</v>
      </c>
      <c r="F154" s="12" t="s">
        <v>47</v>
      </c>
      <c r="G154" s="12" t="s">
        <v>148</v>
      </c>
      <c r="H154" s="16"/>
      <c r="I154" s="14"/>
    </row>
    <row r="155" customFormat="false" ht="15" hidden="false" customHeight="false" outlineLevel="0" collapsed="false">
      <c r="A155" s="12" t="n">
        <v>50</v>
      </c>
      <c r="B155" s="13" t="n">
        <f aca="false">IF($B$3="","",$B$3+A155-1)</f>
        <v>46293</v>
      </c>
      <c r="C155" s="12" t="n">
        <v>3</v>
      </c>
      <c r="D155" s="14" t="s">
        <v>86</v>
      </c>
      <c r="E155" s="15" t="s">
        <v>157</v>
      </c>
      <c r="F155" s="12" t="s">
        <v>47</v>
      </c>
      <c r="G155" s="12" t="s">
        <v>148</v>
      </c>
      <c r="H155" s="16"/>
      <c r="I155" s="14"/>
    </row>
    <row r="156" customFormat="false" ht="15" hidden="false" customHeight="false" outlineLevel="0" collapsed="false">
      <c r="A156" s="12" t="n">
        <v>50</v>
      </c>
      <c r="B156" s="13" t="n">
        <f aca="false">IF($B$3="","",$B$3+A156-1)</f>
        <v>46293</v>
      </c>
      <c r="C156" s="12" t="n">
        <v>4</v>
      </c>
      <c r="D156" s="14" t="s">
        <v>84</v>
      </c>
      <c r="E156" s="15" t="s">
        <v>114</v>
      </c>
      <c r="F156" s="12" t="s">
        <v>47</v>
      </c>
      <c r="G156" s="12" t="s">
        <v>148</v>
      </c>
      <c r="H156" s="16"/>
      <c r="I156" s="14"/>
    </row>
    <row r="157" customFormat="false" ht="15" hidden="false" customHeight="false" outlineLevel="0" collapsed="false">
      <c r="A157" s="12" t="n">
        <v>51</v>
      </c>
      <c r="B157" s="13" t="n">
        <f aca="false">IF($B$3="","",$B$3+A157-1)</f>
        <v>46294</v>
      </c>
      <c r="C157" s="12" t="n">
        <v>1</v>
      </c>
      <c r="D157" s="14" t="s">
        <v>45</v>
      </c>
      <c r="E157" s="15" t="s">
        <v>82</v>
      </c>
      <c r="F157" s="12" t="s">
        <v>47</v>
      </c>
      <c r="G157" s="12" t="s">
        <v>158</v>
      </c>
      <c r="H157" s="16"/>
      <c r="I157" s="14"/>
    </row>
    <row r="158" customFormat="false" ht="15" hidden="false" customHeight="false" outlineLevel="0" collapsed="false">
      <c r="A158" s="12" t="n">
        <v>51</v>
      </c>
      <c r="B158" s="13" t="n">
        <f aca="false">IF($B$3="","",$B$3+A158-1)</f>
        <v>46294</v>
      </c>
      <c r="C158" s="12" t="n">
        <v>2</v>
      </c>
      <c r="D158" s="14" t="s">
        <v>96</v>
      </c>
      <c r="E158" s="15" t="s">
        <v>159</v>
      </c>
      <c r="F158" s="12" t="s">
        <v>47</v>
      </c>
      <c r="G158" s="12" t="s">
        <v>158</v>
      </c>
      <c r="H158" s="16"/>
      <c r="I158" s="14"/>
    </row>
    <row r="159" customFormat="false" ht="15" hidden="false" customHeight="false" outlineLevel="0" collapsed="false">
      <c r="A159" s="17" t="n">
        <v>51</v>
      </c>
      <c r="B159" s="18" t="n">
        <f aca="false">IF($B$3="","",$B$3+A159-1)</f>
        <v>46294</v>
      </c>
      <c r="C159" s="17" t="n">
        <v>3</v>
      </c>
      <c r="D159" s="19" t="s">
        <v>57</v>
      </c>
      <c r="E159" s="20" t="s">
        <v>64</v>
      </c>
      <c r="F159" s="17" t="s">
        <v>51</v>
      </c>
      <c r="G159" s="17" t="s">
        <v>52</v>
      </c>
      <c r="H159" s="21"/>
      <c r="I159" s="19"/>
    </row>
    <row r="160" customFormat="false" ht="15" hidden="false" customHeight="false" outlineLevel="0" collapsed="false">
      <c r="A160" s="12" t="n">
        <v>51</v>
      </c>
      <c r="B160" s="13" t="n">
        <f aca="false">IF($B$3="","",$B$3+A160-1)</f>
        <v>46294</v>
      </c>
      <c r="C160" s="12" t="n">
        <v>4</v>
      </c>
      <c r="D160" s="14" t="s">
        <v>84</v>
      </c>
      <c r="E160" s="15" t="s">
        <v>117</v>
      </c>
      <c r="F160" s="12" t="s">
        <v>47</v>
      </c>
      <c r="G160" s="12" t="s">
        <v>158</v>
      </c>
      <c r="H160" s="16"/>
      <c r="I160" s="14"/>
    </row>
    <row r="161" customFormat="false" ht="15" hidden="false" customHeight="false" outlineLevel="0" collapsed="false">
      <c r="A161" s="17" t="n">
        <v>52</v>
      </c>
      <c r="B161" s="18" t="n">
        <f aca="false">IF($B$3="","",$B$3+A161-1)</f>
        <v>46295</v>
      </c>
      <c r="C161" s="17" t="n">
        <v>1</v>
      </c>
      <c r="D161" s="19" t="s">
        <v>49</v>
      </c>
      <c r="E161" s="20" t="s">
        <v>50</v>
      </c>
      <c r="F161" s="17" t="s">
        <v>51</v>
      </c>
      <c r="G161" s="17" t="s">
        <v>52</v>
      </c>
      <c r="H161" s="21"/>
      <c r="I161" s="19"/>
    </row>
    <row r="162" customFormat="false" ht="15" hidden="false" customHeight="false" outlineLevel="0" collapsed="false">
      <c r="A162" s="17" t="n">
        <v>52</v>
      </c>
      <c r="B162" s="18" t="n">
        <f aca="false">IF($B$3="","",$B$3+A162-1)</f>
        <v>46295</v>
      </c>
      <c r="C162" s="17" t="n">
        <v>2</v>
      </c>
      <c r="D162" s="19" t="s">
        <v>57</v>
      </c>
      <c r="E162" s="20" t="s">
        <v>67</v>
      </c>
      <c r="F162" s="17" t="s">
        <v>51</v>
      </c>
      <c r="G162" s="17" t="s">
        <v>52</v>
      </c>
      <c r="H162" s="21"/>
      <c r="I162" s="19"/>
    </row>
    <row r="163" customFormat="false" ht="15" hidden="false" customHeight="false" outlineLevel="0" collapsed="false">
      <c r="A163" s="12" t="n">
        <v>52</v>
      </c>
      <c r="B163" s="13" t="n">
        <f aca="false">IF($B$3="","",$B$3+A163-1)</f>
        <v>46295</v>
      </c>
      <c r="C163" s="12" t="n">
        <v>3</v>
      </c>
      <c r="D163" s="14" t="s">
        <v>101</v>
      </c>
      <c r="E163" s="15" t="s">
        <v>102</v>
      </c>
      <c r="F163" s="12" t="s">
        <v>47</v>
      </c>
      <c r="G163" s="12" t="s">
        <v>158</v>
      </c>
      <c r="H163" s="16"/>
      <c r="I163" s="14"/>
    </row>
    <row r="164" customFormat="false" ht="15" hidden="false" customHeight="false" outlineLevel="0" collapsed="false">
      <c r="A164" s="12" t="n">
        <v>52</v>
      </c>
      <c r="B164" s="13" t="n">
        <f aca="false">IF($B$3="","",$B$3+A164-1)</f>
        <v>46295</v>
      </c>
      <c r="C164" s="12" t="n">
        <v>4</v>
      </c>
      <c r="D164" s="14" t="s">
        <v>119</v>
      </c>
      <c r="E164" s="15" t="s">
        <v>160</v>
      </c>
      <c r="F164" s="12" t="s">
        <v>47</v>
      </c>
      <c r="G164" s="12" t="s">
        <v>158</v>
      </c>
      <c r="H164" s="16"/>
      <c r="I164" s="22" t="s">
        <v>122</v>
      </c>
    </row>
    <row r="165" customFormat="false" ht="15" hidden="false" customHeight="false" outlineLevel="0" collapsed="false">
      <c r="A165" s="17" t="n">
        <v>53</v>
      </c>
      <c r="B165" s="18" t="n">
        <f aca="false">IF($B$3="","",$B$3+A165-1)</f>
        <v>46296</v>
      </c>
      <c r="C165" s="17" t="n">
        <v>1</v>
      </c>
      <c r="D165" s="19" t="s">
        <v>49</v>
      </c>
      <c r="E165" s="20" t="s">
        <v>63</v>
      </c>
      <c r="F165" s="17" t="s">
        <v>51</v>
      </c>
      <c r="G165" s="17" t="s">
        <v>52</v>
      </c>
      <c r="H165" s="21"/>
      <c r="I165" s="19"/>
    </row>
    <row r="166" customFormat="false" ht="15" hidden="false" customHeight="false" outlineLevel="0" collapsed="false">
      <c r="A166" s="12" t="n">
        <v>53</v>
      </c>
      <c r="B166" s="13" t="n">
        <f aca="false">IF($B$3="","",$B$3+A166-1)</f>
        <v>46296</v>
      </c>
      <c r="C166" s="12" t="n">
        <v>2</v>
      </c>
      <c r="D166" s="14" t="s">
        <v>101</v>
      </c>
      <c r="E166" s="15" t="s">
        <v>109</v>
      </c>
      <c r="F166" s="12" t="s">
        <v>47</v>
      </c>
      <c r="G166" s="12" t="s">
        <v>158</v>
      </c>
      <c r="H166" s="16"/>
      <c r="I166" s="14"/>
    </row>
    <row r="167" customFormat="false" ht="15" hidden="false" customHeight="false" outlineLevel="0" collapsed="false">
      <c r="A167" s="17" t="n">
        <v>53</v>
      </c>
      <c r="B167" s="18" t="n">
        <f aca="false">IF($B$3="","",$B$3+A167-1)</f>
        <v>46296</v>
      </c>
      <c r="C167" s="17" t="n">
        <v>3</v>
      </c>
      <c r="D167" s="19" t="s">
        <v>57</v>
      </c>
      <c r="E167" s="20" t="s">
        <v>70</v>
      </c>
      <c r="F167" s="17" t="s">
        <v>51</v>
      </c>
      <c r="G167" s="17" t="s">
        <v>52</v>
      </c>
      <c r="H167" s="21"/>
      <c r="I167" s="19"/>
    </row>
    <row r="168" customFormat="false" ht="15" hidden="false" customHeight="false" outlineLevel="0" collapsed="false">
      <c r="A168" s="12" t="n">
        <v>53</v>
      </c>
      <c r="B168" s="13" t="n">
        <f aca="false">IF($B$3="","",$B$3+A168-1)</f>
        <v>46296</v>
      </c>
      <c r="C168" s="12" t="n">
        <v>4</v>
      </c>
      <c r="D168" s="14" t="s">
        <v>61</v>
      </c>
      <c r="E168" s="15" t="s">
        <v>125</v>
      </c>
      <c r="F168" s="12" t="s">
        <v>47</v>
      </c>
      <c r="G168" s="12" t="s">
        <v>158</v>
      </c>
      <c r="H168" s="16"/>
      <c r="I168" s="14"/>
    </row>
    <row r="169" customFormat="false" ht="15" hidden="false" customHeight="false" outlineLevel="0" collapsed="false">
      <c r="A169" s="17" t="n">
        <v>54</v>
      </c>
      <c r="B169" s="18" t="n">
        <f aca="false">IF($B$3="","",$B$3+A169-1)</f>
        <v>46297</v>
      </c>
      <c r="C169" s="17" t="n">
        <v>1</v>
      </c>
      <c r="D169" s="19" t="s">
        <v>57</v>
      </c>
      <c r="E169" s="20" t="s">
        <v>73</v>
      </c>
      <c r="F169" s="17" t="s">
        <v>51</v>
      </c>
      <c r="G169" s="17" t="s">
        <v>52</v>
      </c>
      <c r="H169" s="21"/>
      <c r="I169" s="19"/>
    </row>
    <row r="170" customFormat="false" ht="15" hidden="false" customHeight="false" outlineLevel="0" collapsed="false">
      <c r="A170" s="12" t="n">
        <v>54</v>
      </c>
      <c r="B170" s="13" t="n">
        <f aca="false">IF($B$3="","",$B$3+A170-1)</f>
        <v>46297</v>
      </c>
      <c r="C170" s="12" t="n">
        <v>2</v>
      </c>
      <c r="D170" s="14" t="s">
        <v>54</v>
      </c>
      <c r="E170" s="15" t="s">
        <v>55</v>
      </c>
      <c r="F170" s="12" t="s">
        <v>47</v>
      </c>
      <c r="G170" s="12" t="s">
        <v>158</v>
      </c>
      <c r="H170" s="16"/>
      <c r="I170" s="14"/>
    </row>
    <row r="171" customFormat="false" ht="15" hidden="false" customHeight="false" outlineLevel="0" collapsed="false">
      <c r="A171" s="12" t="n">
        <v>54</v>
      </c>
      <c r="B171" s="13" t="n">
        <f aca="false">IF($B$3="","",$B$3+A171-1)</f>
        <v>46297</v>
      </c>
      <c r="C171" s="12" t="n">
        <v>3</v>
      </c>
      <c r="D171" s="14" t="s">
        <v>45</v>
      </c>
      <c r="E171" s="15" t="s">
        <v>83</v>
      </c>
      <c r="F171" s="12" t="s">
        <v>47</v>
      </c>
      <c r="G171" s="12" t="s">
        <v>158</v>
      </c>
      <c r="H171" s="16"/>
      <c r="I171" s="14"/>
    </row>
    <row r="172" customFormat="false" ht="15" hidden="false" customHeight="false" outlineLevel="0" collapsed="false">
      <c r="A172" s="12" t="n">
        <v>54</v>
      </c>
      <c r="B172" s="13" t="n">
        <f aca="false">IF($B$3="","",$B$3+A172-1)</f>
        <v>46297</v>
      </c>
      <c r="C172" s="12" t="n">
        <v>4</v>
      </c>
      <c r="D172" s="14" t="s">
        <v>119</v>
      </c>
      <c r="E172" s="15" t="s">
        <v>161</v>
      </c>
      <c r="F172" s="12" t="s">
        <v>47</v>
      </c>
      <c r="G172" s="12" t="s">
        <v>158</v>
      </c>
      <c r="H172" s="16"/>
      <c r="I172" s="22" t="s">
        <v>122</v>
      </c>
    </row>
    <row r="173" customFormat="false" ht="15" hidden="false" customHeight="false" outlineLevel="0" collapsed="false">
      <c r="A173" s="12" t="n">
        <v>55</v>
      </c>
      <c r="B173" s="13" t="n">
        <f aca="false">IF($B$3="","",$B$3+A173-1)</f>
        <v>46298</v>
      </c>
      <c r="C173" s="12" t="n">
        <v>1</v>
      </c>
      <c r="D173" s="14" t="s">
        <v>84</v>
      </c>
      <c r="E173" s="15" t="s">
        <v>131</v>
      </c>
      <c r="F173" s="12" t="s">
        <v>47</v>
      </c>
      <c r="G173" s="12" t="s">
        <v>158</v>
      </c>
      <c r="H173" s="16"/>
      <c r="I173" s="14"/>
    </row>
    <row r="174" customFormat="false" ht="15" hidden="false" customHeight="false" outlineLevel="0" collapsed="false">
      <c r="A174" s="17" t="n">
        <v>55</v>
      </c>
      <c r="B174" s="18" t="n">
        <f aca="false">IF($B$3="","",$B$3+A174-1)</f>
        <v>46298</v>
      </c>
      <c r="C174" s="17" t="n">
        <v>2</v>
      </c>
      <c r="D174" s="19" t="s">
        <v>49</v>
      </c>
      <c r="E174" s="20" t="s">
        <v>68</v>
      </c>
      <c r="F174" s="17" t="s">
        <v>51</v>
      </c>
      <c r="G174" s="17" t="s">
        <v>52</v>
      </c>
      <c r="H174" s="21"/>
      <c r="I174" s="19"/>
    </row>
    <row r="175" customFormat="false" ht="15" hidden="false" customHeight="false" outlineLevel="0" collapsed="false">
      <c r="A175" s="12" t="n">
        <v>55</v>
      </c>
      <c r="B175" s="13" t="n">
        <f aca="false">IF($B$3="","",$B$3+A175-1)</f>
        <v>46298</v>
      </c>
      <c r="C175" s="12" t="n">
        <v>3</v>
      </c>
      <c r="D175" s="14" t="s">
        <v>54</v>
      </c>
      <c r="E175" s="15" t="s">
        <v>65</v>
      </c>
      <c r="F175" s="12" t="s">
        <v>47</v>
      </c>
      <c r="G175" s="12" t="s">
        <v>158</v>
      </c>
      <c r="H175" s="16"/>
      <c r="I175" s="14"/>
    </row>
    <row r="176" customFormat="false" ht="15" hidden="false" customHeight="false" outlineLevel="0" collapsed="false">
      <c r="A176" s="12" t="n">
        <v>55</v>
      </c>
      <c r="B176" s="13" t="n">
        <f aca="false">IF($B$3="","",$B$3+A176-1)</f>
        <v>46298</v>
      </c>
      <c r="C176" s="12" t="n">
        <v>4</v>
      </c>
      <c r="D176" s="14" t="s">
        <v>136</v>
      </c>
      <c r="E176" s="15" t="s">
        <v>162</v>
      </c>
      <c r="F176" s="12" t="s">
        <v>47</v>
      </c>
      <c r="G176" s="12" t="s">
        <v>158</v>
      </c>
      <c r="H176" s="16"/>
      <c r="I176" s="22" t="s">
        <v>122</v>
      </c>
    </row>
    <row r="177" customFormat="false" ht="15" hidden="false" customHeight="false" outlineLevel="0" collapsed="false">
      <c r="A177" s="12" t="n">
        <v>56</v>
      </c>
      <c r="B177" s="13" t="n">
        <f aca="false">IF($B$3="","",$B$3+A177-1)</f>
        <v>46299</v>
      </c>
      <c r="C177" s="12" t="n">
        <v>1</v>
      </c>
      <c r="D177" s="14" t="s">
        <v>61</v>
      </c>
      <c r="E177" s="15" t="s">
        <v>126</v>
      </c>
      <c r="F177" s="12" t="s">
        <v>47</v>
      </c>
      <c r="G177" s="12" t="s">
        <v>163</v>
      </c>
      <c r="H177" s="16"/>
      <c r="I177" s="14"/>
    </row>
    <row r="178" customFormat="false" ht="15" hidden="false" customHeight="false" outlineLevel="0" collapsed="false">
      <c r="A178" s="12" t="n">
        <v>56</v>
      </c>
      <c r="B178" s="13" t="n">
        <f aca="false">IF($B$3="","",$B$3+A178-1)</f>
        <v>46299</v>
      </c>
      <c r="C178" s="12" t="n">
        <v>2</v>
      </c>
      <c r="D178" s="14" t="s">
        <v>45</v>
      </c>
      <c r="E178" s="15" t="s">
        <v>46</v>
      </c>
      <c r="F178" s="12" t="s">
        <v>47</v>
      </c>
      <c r="G178" s="12" t="s">
        <v>163</v>
      </c>
      <c r="H178" s="16"/>
      <c r="I178" s="14"/>
    </row>
    <row r="179" customFormat="false" ht="15" hidden="false" customHeight="false" outlineLevel="0" collapsed="false">
      <c r="A179" s="12" t="n">
        <v>56</v>
      </c>
      <c r="B179" s="13" t="n">
        <f aca="false">IF($B$3="","",$B$3+A179-1)</f>
        <v>46299</v>
      </c>
      <c r="C179" s="12" t="n">
        <v>3</v>
      </c>
      <c r="D179" s="14" t="s">
        <v>96</v>
      </c>
      <c r="E179" s="15" t="s">
        <v>164</v>
      </c>
      <c r="F179" s="12" t="s">
        <v>47</v>
      </c>
      <c r="G179" s="12" t="s">
        <v>163</v>
      </c>
      <c r="H179" s="16"/>
      <c r="I179" s="14"/>
    </row>
    <row r="180" customFormat="false" ht="15" hidden="false" customHeight="false" outlineLevel="0" collapsed="false">
      <c r="A180" s="12" t="n">
        <v>56</v>
      </c>
      <c r="B180" s="13" t="n">
        <f aca="false">IF($B$3="","",$B$3+A180-1)</f>
        <v>46299</v>
      </c>
      <c r="C180" s="12" t="n">
        <v>4</v>
      </c>
      <c r="D180" s="14" t="s">
        <v>54</v>
      </c>
      <c r="E180" s="15" t="s">
        <v>94</v>
      </c>
      <c r="F180" s="12" t="s">
        <v>47</v>
      </c>
      <c r="G180" s="12" t="s">
        <v>163</v>
      </c>
      <c r="H180" s="16"/>
      <c r="I180" s="14"/>
    </row>
    <row r="181" customFormat="false" ht="15" hidden="false" customHeight="false" outlineLevel="0" collapsed="false">
      <c r="A181" s="17" t="n">
        <v>57</v>
      </c>
      <c r="B181" s="18" t="n">
        <f aca="false">IF($B$3="","",$B$3+A181-1)</f>
        <v>46300</v>
      </c>
      <c r="C181" s="17" t="n">
        <v>1</v>
      </c>
      <c r="D181" s="19" t="s">
        <v>49</v>
      </c>
      <c r="E181" s="20" t="s">
        <v>72</v>
      </c>
      <c r="F181" s="17" t="s">
        <v>51</v>
      </c>
      <c r="G181" s="17" t="s">
        <v>52</v>
      </c>
      <c r="H181" s="21"/>
      <c r="I181" s="19"/>
    </row>
    <row r="182" customFormat="false" ht="15" hidden="false" customHeight="false" outlineLevel="0" collapsed="false">
      <c r="A182" s="12" t="n">
        <v>57</v>
      </c>
      <c r="B182" s="13" t="n">
        <f aca="false">IF($B$3="","",$B$3+A182-1)</f>
        <v>46300</v>
      </c>
      <c r="C182" s="12" t="n">
        <v>2</v>
      </c>
      <c r="D182" s="14" t="s">
        <v>45</v>
      </c>
      <c r="E182" s="15" t="s">
        <v>53</v>
      </c>
      <c r="F182" s="12" t="s">
        <v>47</v>
      </c>
      <c r="G182" s="12" t="s">
        <v>163</v>
      </c>
      <c r="H182" s="16"/>
      <c r="I182" s="14"/>
    </row>
    <row r="183" customFormat="false" ht="15" hidden="false" customHeight="false" outlineLevel="0" collapsed="false">
      <c r="A183" s="12" t="n">
        <v>57</v>
      </c>
      <c r="B183" s="13" t="n">
        <f aca="false">IF($B$3="","",$B$3+A183-1)</f>
        <v>46300</v>
      </c>
      <c r="C183" s="12" t="n">
        <v>3</v>
      </c>
      <c r="D183" s="14" t="s">
        <v>54</v>
      </c>
      <c r="E183" s="15" t="s">
        <v>105</v>
      </c>
      <c r="F183" s="12" t="s">
        <v>47</v>
      </c>
      <c r="G183" s="12" t="s">
        <v>163</v>
      </c>
      <c r="H183" s="16"/>
      <c r="I183" s="14"/>
    </row>
    <row r="184" customFormat="false" ht="15" hidden="false" customHeight="false" outlineLevel="0" collapsed="false">
      <c r="A184" s="12" t="n">
        <v>57</v>
      </c>
      <c r="B184" s="13" t="n">
        <f aca="false">IF($B$3="","",$B$3+A184-1)</f>
        <v>46300</v>
      </c>
      <c r="C184" s="12" t="n">
        <v>4</v>
      </c>
      <c r="D184" s="14" t="s">
        <v>92</v>
      </c>
      <c r="E184" s="15" t="s">
        <v>165</v>
      </c>
      <c r="F184" s="12" t="s">
        <v>47</v>
      </c>
      <c r="G184" s="12" t="s">
        <v>163</v>
      </c>
      <c r="H184" s="16"/>
      <c r="I184" s="14"/>
    </row>
    <row r="185" customFormat="false" ht="15" hidden="false" customHeight="false" outlineLevel="0" collapsed="false">
      <c r="A185" s="12" t="n">
        <v>58</v>
      </c>
      <c r="B185" s="13" t="n">
        <f aca="false">IF($B$3="","",$B$3+A185-1)</f>
        <v>46301</v>
      </c>
      <c r="C185" s="12" t="n">
        <v>1</v>
      </c>
      <c r="D185" s="14" t="s">
        <v>45</v>
      </c>
      <c r="E185" s="15" t="s">
        <v>56</v>
      </c>
      <c r="F185" s="12" t="s">
        <v>47</v>
      </c>
      <c r="G185" s="12" t="s">
        <v>163</v>
      </c>
      <c r="H185" s="16"/>
      <c r="I185" s="14"/>
    </row>
    <row r="186" customFormat="false" ht="15" hidden="false" customHeight="false" outlineLevel="0" collapsed="false">
      <c r="A186" s="12" t="n">
        <v>58</v>
      </c>
      <c r="B186" s="13" t="n">
        <f aca="false">IF($B$3="","",$B$3+A186-1)</f>
        <v>46301</v>
      </c>
      <c r="C186" s="12" t="n">
        <v>2</v>
      </c>
      <c r="D186" s="14" t="s">
        <v>86</v>
      </c>
      <c r="E186" s="15" t="s">
        <v>166</v>
      </c>
      <c r="F186" s="12" t="s">
        <v>47</v>
      </c>
      <c r="G186" s="12" t="s">
        <v>163</v>
      </c>
      <c r="H186" s="16"/>
      <c r="I186" s="14"/>
    </row>
    <row r="187" customFormat="false" ht="15" hidden="false" customHeight="false" outlineLevel="0" collapsed="false">
      <c r="A187" s="12" t="n">
        <v>58</v>
      </c>
      <c r="B187" s="13" t="n">
        <f aca="false">IF($B$3="","",$B$3+A187-1)</f>
        <v>46301</v>
      </c>
      <c r="C187" s="12" t="n">
        <v>3</v>
      </c>
      <c r="D187" s="14" t="s">
        <v>92</v>
      </c>
      <c r="E187" s="15" t="s">
        <v>93</v>
      </c>
      <c r="F187" s="12" t="s">
        <v>47</v>
      </c>
      <c r="G187" s="12" t="s">
        <v>163</v>
      </c>
      <c r="H187" s="16"/>
      <c r="I187" s="14"/>
    </row>
    <row r="188" customFormat="false" ht="15" hidden="false" customHeight="false" outlineLevel="0" collapsed="false">
      <c r="A188" s="12" t="n">
        <v>58</v>
      </c>
      <c r="B188" s="13" t="n">
        <f aca="false">IF($B$3="","",$B$3+A188-1)</f>
        <v>46301</v>
      </c>
      <c r="C188" s="12" t="n">
        <v>4</v>
      </c>
      <c r="D188" s="14" t="s">
        <v>61</v>
      </c>
      <c r="E188" s="15" t="s">
        <v>127</v>
      </c>
      <c r="F188" s="12" t="s">
        <v>47</v>
      </c>
      <c r="G188" s="12" t="s">
        <v>163</v>
      </c>
      <c r="H188" s="16"/>
      <c r="I188" s="14"/>
    </row>
    <row r="189" customFormat="false" ht="15" hidden="false" customHeight="false" outlineLevel="0" collapsed="false">
      <c r="A189" s="12" t="n">
        <v>59</v>
      </c>
      <c r="B189" s="13" t="n">
        <f aca="false">IF($B$3="","",$B$3+A189-1)</f>
        <v>46302</v>
      </c>
      <c r="C189" s="12" t="n">
        <v>1</v>
      </c>
      <c r="D189" s="14" t="s">
        <v>96</v>
      </c>
      <c r="E189" s="15" t="s">
        <v>167</v>
      </c>
      <c r="F189" s="12" t="s">
        <v>47</v>
      </c>
      <c r="G189" s="12" t="s">
        <v>163</v>
      </c>
      <c r="H189" s="16"/>
      <c r="I189" s="14"/>
    </row>
    <row r="190" customFormat="false" ht="15" hidden="false" customHeight="false" outlineLevel="0" collapsed="false">
      <c r="A190" s="12" t="n">
        <v>59</v>
      </c>
      <c r="B190" s="13" t="n">
        <f aca="false">IF($B$3="","",$B$3+A190-1)</f>
        <v>46302</v>
      </c>
      <c r="C190" s="12" t="n">
        <v>2</v>
      </c>
      <c r="D190" s="14" t="s">
        <v>61</v>
      </c>
      <c r="E190" s="15" t="s">
        <v>62</v>
      </c>
      <c r="F190" s="12" t="s">
        <v>47</v>
      </c>
      <c r="G190" s="12" t="s">
        <v>163</v>
      </c>
      <c r="H190" s="16"/>
      <c r="I190" s="14"/>
    </row>
    <row r="191" customFormat="false" ht="15" hidden="false" customHeight="false" outlineLevel="0" collapsed="false">
      <c r="A191" s="12" t="n">
        <v>59</v>
      </c>
      <c r="B191" s="13" t="n">
        <f aca="false">IF($B$3="","",$B$3+A191-1)</f>
        <v>46302</v>
      </c>
      <c r="C191" s="12" t="n">
        <v>3</v>
      </c>
      <c r="D191" s="14" t="s">
        <v>92</v>
      </c>
      <c r="E191" s="15" t="s">
        <v>108</v>
      </c>
      <c r="F191" s="12" t="s">
        <v>47</v>
      </c>
      <c r="G191" s="12" t="s">
        <v>163</v>
      </c>
      <c r="H191" s="16"/>
      <c r="I191" s="14"/>
    </row>
    <row r="192" customFormat="false" ht="15" hidden="false" customHeight="false" outlineLevel="0" collapsed="false">
      <c r="A192" s="12" t="n">
        <v>59</v>
      </c>
      <c r="B192" s="13" t="n">
        <f aca="false">IF($B$3="","",$B$3+A192-1)</f>
        <v>46302</v>
      </c>
      <c r="C192" s="12" t="n">
        <v>4</v>
      </c>
      <c r="D192" s="14" t="s">
        <v>136</v>
      </c>
      <c r="E192" s="15" t="s">
        <v>168</v>
      </c>
      <c r="F192" s="12" t="s">
        <v>47</v>
      </c>
      <c r="G192" s="12" t="s">
        <v>163</v>
      </c>
      <c r="H192" s="16"/>
      <c r="I192" s="22" t="s">
        <v>122</v>
      </c>
    </row>
    <row r="193" customFormat="false" ht="15" hidden="false" customHeight="false" outlineLevel="0" collapsed="false">
      <c r="A193" s="12" t="n">
        <v>60</v>
      </c>
      <c r="B193" s="13" t="n">
        <f aca="false">IF($B$3="","",$B$3+A193-1)</f>
        <v>46303</v>
      </c>
      <c r="C193" s="12" t="n">
        <v>1</v>
      </c>
      <c r="D193" s="14" t="s">
        <v>61</v>
      </c>
      <c r="E193" s="15" t="s">
        <v>89</v>
      </c>
      <c r="F193" s="12" t="s">
        <v>47</v>
      </c>
      <c r="G193" s="12" t="s">
        <v>163</v>
      </c>
      <c r="H193" s="16"/>
      <c r="I193" s="14"/>
    </row>
    <row r="194" customFormat="false" ht="15" hidden="false" customHeight="false" outlineLevel="0" collapsed="false">
      <c r="A194" s="12" t="n">
        <v>60</v>
      </c>
      <c r="B194" s="13" t="n">
        <f aca="false">IF($B$3="","",$B$3+A194-1)</f>
        <v>46303</v>
      </c>
      <c r="C194" s="12" t="n">
        <v>2</v>
      </c>
      <c r="D194" s="14" t="s">
        <v>92</v>
      </c>
      <c r="E194" s="15" t="s">
        <v>124</v>
      </c>
      <c r="F194" s="12" t="s">
        <v>47</v>
      </c>
      <c r="G194" s="12" t="s">
        <v>163</v>
      </c>
      <c r="H194" s="16"/>
      <c r="I194" s="14"/>
    </row>
    <row r="195" customFormat="false" ht="15" hidden="false" customHeight="false" outlineLevel="0" collapsed="false">
      <c r="A195" s="12" t="n">
        <v>60</v>
      </c>
      <c r="B195" s="13" t="n">
        <f aca="false">IF($B$3="","",$B$3+A195-1)</f>
        <v>46303</v>
      </c>
      <c r="C195" s="12" t="n">
        <v>3</v>
      </c>
      <c r="D195" s="14" t="s">
        <v>45</v>
      </c>
      <c r="E195" s="15" t="s">
        <v>59</v>
      </c>
      <c r="F195" s="12" t="s">
        <v>47</v>
      </c>
      <c r="G195" s="12" t="s">
        <v>163</v>
      </c>
      <c r="H195" s="16"/>
      <c r="I195" s="14"/>
    </row>
    <row r="196" customFormat="false" ht="15" hidden="false" customHeight="false" outlineLevel="0" collapsed="false">
      <c r="A196" s="12" t="n">
        <v>60</v>
      </c>
      <c r="B196" s="13" t="n">
        <f aca="false">IF($B$3="","",$B$3+A196-1)</f>
        <v>46303</v>
      </c>
      <c r="C196" s="12" t="n">
        <v>4</v>
      </c>
      <c r="D196" s="14" t="s">
        <v>96</v>
      </c>
      <c r="E196" s="15" t="s">
        <v>97</v>
      </c>
      <c r="F196" s="12" t="s">
        <v>47</v>
      </c>
      <c r="G196" s="12" t="s">
        <v>163</v>
      </c>
      <c r="H196" s="16"/>
      <c r="I196" s="14"/>
    </row>
    <row r="198" customFormat="false" ht="15" hidden="false" customHeight="false" outlineLevel="0" collapsed="false">
      <c r="A198" s="5" t="s">
        <v>169</v>
      </c>
    </row>
    <row r="199" customFormat="false" ht="15" hidden="false" customHeight="false" outlineLevel="0" collapsed="false">
      <c r="A199" s="6" t="s">
        <v>39</v>
      </c>
      <c r="B199" s="6" t="s">
        <v>170</v>
      </c>
      <c r="C199" s="6" t="s">
        <v>171</v>
      </c>
    </row>
    <row r="200" customFormat="false" ht="15" hidden="false" customHeight="false" outlineLevel="0" collapsed="false">
      <c r="A200" s="23" t="s">
        <v>54</v>
      </c>
      <c r="B200" s="24" t="n">
        <v>14</v>
      </c>
      <c r="C200" s="23" t="str">
        <f aca="false">IF(B200&gt;=5,"Yes","NO — add slots")</f>
        <v>Yes</v>
      </c>
    </row>
    <row r="201" customFormat="false" ht="15" hidden="false" customHeight="false" outlineLevel="0" collapsed="false">
      <c r="A201" s="23" t="s">
        <v>86</v>
      </c>
      <c r="B201" s="24" t="n">
        <v>10</v>
      </c>
      <c r="C201" s="23" t="str">
        <f aca="false">IF(B201&gt;=5,"Yes","NO — add slots")</f>
        <v>Yes</v>
      </c>
    </row>
    <row r="202" customFormat="false" ht="15" hidden="false" customHeight="false" outlineLevel="0" collapsed="false">
      <c r="A202" s="23" t="s">
        <v>101</v>
      </c>
      <c r="B202" s="24" t="n">
        <v>10</v>
      </c>
      <c r="C202" s="23" t="str">
        <f aca="false">IF(B202&gt;=5,"Yes","NO — add slots")</f>
        <v>Yes</v>
      </c>
    </row>
    <row r="203" customFormat="false" ht="15" hidden="false" customHeight="false" outlineLevel="0" collapsed="false">
      <c r="A203" s="23" t="s">
        <v>45</v>
      </c>
      <c r="B203" s="24" t="n">
        <v>40</v>
      </c>
      <c r="C203" s="23" t="str">
        <f aca="false">IF(B203&gt;=5,"Yes","NO — add slots")</f>
        <v>Yes</v>
      </c>
    </row>
    <row r="204" customFormat="false" ht="15" hidden="false" customHeight="false" outlineLevel="0" collapsed="false">
      <c r="A204" s="23" t="s">
        <v>136</v>
      </c>
      <c r="B204" s="24" t="n">
        <v>5</v>
      </c>
      <c r="C204" s="23" t="str">
        <f aca="false">IF(B204&gt;=5,"Yes","NO — add slots")</f>
        <v>Yes</v>
      </c>
    </row>
    <row r="205" customFormat="false" ht="15" hidden="false" customHeight="false" outlineLevel="0" collapsed="false">
      <c r="A205" s="23" t="s">
        <v>84</v>
      </c>
      <c r="B205" s="24" t="n">
        <v>14</v>
      </c>
      <c r="C205" s="23" t="str">
        <f aca="false">IF(B205&gt;=5,"Yes","NO — add slots")</f>
        <v>Yes</v>
      </c>
    </row>
    <row r="206" customFormat="false" ht="15" hidden="false" customHeight="false" outlineLevel="0" collapsed="false">
      <c r="A206" s="23" t="s">
        <v>119</v>
      </c>
      <c r="B206" s="24" t="n">
        <v>7</v>
      </c>
      <c r="C206" s="23" t="str">
        <f aca="false">IF(B206&gt;=5,"Yes","NO — add slots")</f>
        <v>Yes</v>
      </c>
    </row>
    <row r="207" customFormat="false" ht="15" hidden="false" customHeight="false" outlineLevel="0" collapsed="false">
      <c r="A207" s="23" t="s">
        <v>57</v>
      </c>
      <c r="B207" s="24" t="n">
        <v>30</v>
      </c>
      <c r="C207" s="23" t="str">
        <f aca="false">IF(B207&gt;=5,"Yes","NO — add slots")</f>
        <v>Yes</v>
      </c>
    </row>
    <row r="208" customFormat="false" ht="15" hidden="false" customHeight="false" outlineLevel="0" collapsed="false">
      <c r="A208" s="23" t="s">
        <v>61</v>
      </c>
      <c r="B208" s="24" t="n">
        <v>18</v>
      </c>
      <c r="C208" s="23" t="str">
        <f aca="false">IF(B208&gt;=5,"Yes","NO — add slots")</f>
        <v>Yes</v>
      </c>
    </row>
    <row r="209" customFormat="false" ht="15" hidden="false" customHeight="false" outlineLevel="0" collapsed="false">
      <c r="A209" s="23" t="s">
        <v>49</v>
      </c>
      <c r="B209" s="24" t="n">
        <v>25</v>
      </c>
      <c r="C209" s="23" t="str">
        <f aca="false">IF(B209&gt;=5,"Yes","NO — add slots")</f>
        <v>Yes</v>
      </c>
    </row>
    <row r="210" customFormat="false" ht="15" hidden="false" customHeight="false" outlineLevel="0" collapsed="false">
      <c r="A210" s="23" t="s">
        <v>96</v>
      </c>
      <c r="B210" s="24" t="n">
        <v>8</v>
      </c>
      <c r="C210" s="23" t="str">
        <f aca="false">IF(B210&gt;=5,"Yes","NO — add slots")</f>
        <v>Yes</v>
      </c>
    </row>
    <row r="211" customFormat="false" ht="15" hidden="false" customHeight="false" outlineLevel="0" collapsed="false">
      <c r="A211" s="23" t="s">
        <v>92</v>
      </c>
      <c r="B211" s="24" t="n">
        <v>10</v>
      </c>
      <c r="C211" s="23" t="str">
        <f aca="false">IF(B211&gt;=5,"Yes","NO — add slots")</f>
        <v>Yes</v>
      </c>
    </row>
    <row r="213" customFormat="false" ht="15" hidden="false" customHeight="false" outlineLevel="0" collapsed="false">
      <c r="A213" s="6" t="s">
        <v>172</v>
      </c>
      <c r="B213" s="25" t="n">
        <f aca="false">SUM(B200:B212)</f>
        <v>191</v>
      </c>
    </row>
    <row r="214" customFormat="false" ht="15" hidden="false" customHeight="false" outlineLevel="0" collapsed="false">
      <c r="A214" s="6" t="s">
        <v>173</v>
      </c>
      <c r="B214" s="25" t="n">
        <f aca="false">ROUNDUP(COUNTIF(F6:F196,"Field")/10,0)</f>
        <v>14</v>
      </c>
      <c r="C214" s="2" t="s">
        <v>174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5"/>
    <col collapsed="false" customWidth="true" hidden="false" outlineLevel="0" max="3" min="3" style="0" width="64"/>
  </cols>
  <sheetData>
    <row r="1" customFormat="false" ht="18.55" hidden="false" customHeight="false" outlineLevel="0" collapsed="false">
      <c r="A1" s="9" t="s">
        <v>175</v>
      </c>
    </row>
    <row r="2" customFormat="false" ht="15" hidden="false" customHeight="false" outlineLevel="0" collapsed="false">
      <c r="A2" s="2" t="s">
        <v>176</v>
      </c>
    </row>
    <row r="4" customFormat="false" ht="15" hidden="false" customHeight="false" outlineLevel="0" collapsed="false">
      <c r="A4" s="26" t="s">
        <v>39</v>
      </c>
      <c r="B4" s="26" t="s">
        <v>177</v>
      </c>
      <c r="C4" s="26" t="s">
        <v>178</v>
      </c>
    </row>
    <row r="5" customFormat="false" ht="15" hidden="false" customHeight="false" outlineLevel="0" collapsed="false">
      <c r="A5" s="27" t="s">
        <v>54</v>
      </c>
      <c r="B5" s="24" t="n">
        <v>1</v>
      </c>
      <c r="C5" s="23" t="s">
        <v>55</v>
      </c>
    </row>
    <row r="6" customFormat="false" ht="15" hidden="false" customHeight="false" outlineLevel="0" collapsed="false">
      <c r="A6" s="23"/>
      <c r="B6" s="24" t="n">
        <v>2</v>
      </c>
      <c r="C6" s="23" t="s">
        <v>65</v>
      </c>
    </row>
    <row r="7" customFormat="false" ht="15" hidden="false" customHeight="false" outlineLevel="0" collapsed="false">
      <c r="A7" s="23"/>
      <c r="B7" s="24" t="n">
        <v>3</v>
      </c>
      <c r="C7" s="23" t="s">
        <v>94</v>
      </c>
    </row>
    <row r="8" customFormat="false" ht="15" hidden="false" customHeight="false" outlineLevel="0" collapsed="false">
      <c r="A8" s="23"/>
      <c r="B8" s="24" t="n">
        <v>4</v>
      </c>
      <c r="C8" s="23" t="s">
        <v>105</v>
      </c>
    </row>
    <row r="9" customFormat="false" ht="15" hidden="false" customHeight="false" outlineLevel="0" collapsed="false">
      <c r="A9" s="23"/>
      <c r="B9" s="24" t="n">
        <v>5</v>
      </c>
      <c r="C9" s="23" t="s">
        <v>112</v>
      </c>
    </row>
    <row r="10" customFormat="false" ht="15" hidden="false" customHeight="false" outlineLevel="0" collapsed="false">
      <c r="A10" s="23"/>
      <c r="B10" s="24" t="n">
        <v>6</v>
      </c>
      <c r="C10" s="23" t="s">
        <v>113</v>
      </c>
    </row>
    <row r="11" customFormat="false" ht="15" hidden="false" customHeight="false" outlineLevel="0" collapsed="false">
      <c r="A11" s="23"/>
      <c r="B11" s="24" t="n">
        <v>7</v>
      </c>
      <c r="C11" s="23" t="s">
        <v>115</v>
      </c>
    </row>
    <row r="12" customFormat="false" ht="15" hidden="false" customHeight="false" outlineLevel="0" collapsed="false">
      <c r="A12" s="23"/>
      <c r="B12" s="24" t="n">
        <v>8</v>
      </c>
      <c r="C12" s="23" t="s">
        <v>138</v>
      </c>
    </row>
    <row r="13" customFormat="false" ht="15" hidden="false" customHeight="false" outlineLevel="0" collapsed="false">
      <c r="A13" s="23"/>
      <c r="B13" s="24" t="n">
        <v>9</v>
      </c>
      <c r="C13" s="23" t="s">
        <v>149</v>
      </c>
    </row>
    <row r="14" customFormat="false" ht="15" hidden="false" customHeight="false" outlineLevel="0" collapsed="false">
      <c r="A14" s="23"/>
      <c r="B14" s="24" t="n">
        <v>10</v>
      </c>
      <c r="C14" s="23" t="s">
        <v>156</v>
      </c>
    </row>
    <row r="15" customFormat="false" ht="15" hidden="false" customHeight="false" outlineLevel="0" collapsed="false">
      <c r="A15" s="27" t="s">
        <v>86</v>
      </c>
      <c r="B15" s="24" t="n">
        <v>1</v>
      </c>
      <c r="C15" s="23" t="s">
        <v>87</v>
      </c>
    </row>
    <row r="16" customFormat="false" ht="15" hidden="false" customHeight="false" outlineLevel="0" collapsed="false">
      <c r="A16" s="23"/>
      <c r="B16" s="24" t="n">
        <v>2</v>
      </c>
      <c r="C16" s="23" t="s">
        <v>90</v>
      </c>
    </row>
    <row r="17" customFormat="false" ht="15" hidden="false" customHeight="false" outlineLevel="0" collapsed="false">
      <c r="A17" s="23"/>
      <c r="B17" s="24" t="n">
        <v>3</v>
      </c>
      <c r="C17" s="23" t="s">
        <v>106</v>
      </c>
    </row>
    <row r="18" customFormat="false" ht="15" hidden="false" customHeight="false" outlineLevel="0" collapsed="false">
      <c r="A18" s="23"/>
      <c r="B18" s="24" t="n">
        <v>4</v>
      </c>
      <c r="C18" s="23" t="s">
        <v>132</v>
      </c>
    </row>
    <row r="19" customFormat="false" ht="15" hidden="false" customHeight="false" outlineLevel="0" collapsed="false">
      <c r="A19" s="23"/>
      <c r="B19" s="24" t="n">
        <v>5</v>
      </c>
      <c r="C19" s="23" t="s">
        <v>134</v>
      </c>
    </row>
    <row r="20" customFormat="false" ht="15" hidden="false" customHeight="false" outlineLevel="0" collapsed="false">
      <c r="A20" s="23"/>
      <c r="B20" s="24" t="n">
        <v>6</v>
      </c>
      <c r="C20" s="23" t="s">
        <v>143</v>
      </c>
    </row>
    <row r="21" customFormat="false" ht="15" hidden="false" customHeight="false" outlineLevel="0" collapsed="false">
      <c r="A21" s="23"/>
      <c r="B21" s="24" t="n">
        <v>7</v>
      </c>
      <c r="C21" s="23" t="s">
        <v>144</v>
      </c>
    </row>
    <row r="22" customFormat="false" ht="15" hidden="false" customHeight="false" outlineLevel="0" collapsed="false">
      <c r="A22" s="23"/>
      <c r="B22" s="24" t="n">
        <v>8</v>
      </c>
      <c r="C22" s="23" t="s">
        <v>154</v>
      </c>
    </row>
    <row r="23" customFormat="false" ht="15" hidden="false" customHeight="false" outlineLevel="0" collapsed="false">
      <c r="A23" s="23"/>
      <c r="B23" s="24" t="n">
        <v>9</v>
      </c>
      <c r="C23" s="23" t="s">
        <v>157</v>
      </c>
    </row>
    <row r="24" customFormat="false" ht="15" hidden="false" customHeight="false" outlineLevel="0" collapsed="false">
      <c r="A24" s="23"/>
      <c r="B24" s="24" t="n">
        <v>10</v>
      </c>
      <c r="C24" s="23" t="s">
        <v>166</v>
      </c>
    </row>
    <row r="25" customFormat="false" ht="15" hidden="false" customHeight="false" outlineLevel="0" collapsed="false">
      <c r="A25" s="27" t="s">
        <v>101</v>
      </c>
      <c r="B25" s="24" t="n">
        <v>1</v>
      </c>
      <c r="C25" s="23" t="s">
        <v>102</v>
      </c>
    </row>
    <row r="26" customFormat="false" ht="15" hidden="false" customHeight="false" outlineLevel="0" collapsed="false">
      <c r="A26" s="23"/>
      <c r="B26" s="24" t="n">
        <v>2</v>
      </c>
      <c r="C26" s="23" t="s">
        <v>109</v>
      </c>
    </row>
    <row r="27" customFormat="false" ht="15" hidden="false" customHeight="false" outlineLevel="0" collapsed="false">
      <c r="A27" s="23"/>
      <c r="B27" s="24" t="n">
        <v>3</v>
      </c>
      <c r="C27" s="23" t="s">
        <v>110</v>
      </c>
    </row>
    <row r="28" customFormat="false" ht="15" hidden="false" customHeight="false" outlineLevel="0" collapsed="false">
      <c r="A28" s="23"/>
      <c r="B28" s="24" t="n">
        <v>4</v>
      </c>
      <c r="C28" s="23" t="s">
        <v>118</v>
      </c>
    </row>
    <row r="29" customFormat="false" ht="15" hidden="false" customHeight="false" outlineLevel="0" collapsed="false">
      <c r="A29" s="23"/>
      <c r="B29" s="24" t="n">
        <v>5</v>
      </c>
      <c r="C29" s="23" t="s">
        <v>130</v>
      </c>
    </row>
    <row r="30" customFormat="false" ht="15" hidden="false" customHeight="false" outlineLevel="0" collapsed="false">
      <c r="A30" s="23"/>
      <c r="B30" s="24" t="n">
        <v>6</v>
      </c>
      <c r="C30" s="23" t="s">
        <v>140</v>
      </c>
    </row>
    <row r="31" customFormat="false" ht="15" hidden="false" customHeight="false" outlineLevel="0" collapsed="false">
      <c r="A31" s="23"/>
      <c r="B31" s="24" t="n">
        <v>7</v>
      </c>
      <c r="C31" s="23" t="s">
        <v>146</v>
      </c>
    </row>
    <row r="32" customFormat="false" ht="15" hidden="false" customHeight="false" outlineLevel="0" collapsed="false">
      <c r="A32" s="23"/>
      <c r="B32" s="24" t="n">
        <v>8</v>
      </c>
      <c r="C32" s="23" t="s">
        <v>155</v>
      </c>
    </row>
    <row r="33" customFormat="false" ht="15" hidden="false" customHeight="false" outlineLevel="0" collapsed="false">
      <c r="A33" s="27" t="s">
        <v>45</v>
      </c>
      <c r="B33" s="24" t="n">
        <v>1</v>
      </c>
      <c r="C33" s="23" t="s">
        <v>46</v>
      </c>
    </row>
    <row r="34" customFormat="false" ht="15" hidden="false" customHeight="false" outlineLevel="0" collapsed="false">
      <c r="A34" s="23"/>
      <c r="B34" s="24" t="n">
        <v>2</v>
      </c>
      <c r="C34" s="23" t="s">
        <v>53</v>
      </c>
    </row>
    <row r="35" customFormat="false" ht="15" hidden="false" customHeight="false" outlineLevel="0" collapsed="false">
      <c r="A35" s="23"/>
      <c r="B35" s="24" t="n">
        <v>3</v>
      </c>
      <c r="C35" s="23" t="s">
        <v>56</v>
      </c>
    </row>
    <row r="36" customFormat="false" ht="15" hidden="false" customHeight="false" outlineLevel="0" collapsed="false">
      <c r="A36" s="23"/>
      <c r="B36" s="24" t="n">
        <v>4</v>
      </c>
      <c r="C36" s="23" t="s">
        <v>59</v>
      </c>
    </row>
    <row r="37" customFormat="false" ht="15" hidden="false" customHeight="false" outlineLevel="0" collapsed="false">
      <c r="A37" s="23"/>
      <c r="B37" s="24" t="n">
        <v>5</v>
      </c>
      <c r="C37" s="23" t="s">
        <v>69</v>
      </c>
    </row>
    <row r="38" customFormat="false" ht="15" hidden="false" customHeight="false" outlineLevel="0" collapsed="false">
      <c r="A38" s="23"/>
      <c r="B38" s="24" t="n">
        <v>6</v>
      </c>
      <c r="C38" s="23" t="s">
        <v>71</v>
      </c>
    </row>
    <row r="39" customFormat="false" ht="15" hidden="false" customHeight="false" outlineLevel="0" collapsed="false">
      <c r="A39" s="23"/>
      <c r="B39" s="24" t="n">
        <v>7</v>
      </c>
      <c r="C39" s="23" t="s">
        <v>74</v>
      </c>
    </row>
    <row r="40" customFormat="false" ht="15" hidden="false" customHeight="false" outlineLevel="0" collapsed="false">
      <c r="A40" s="23"/>
      <c r="B40" s="24" t="n">
        <v>8</v>
      </c>
      <c r="C40" s="23" t="s">
        <v>75</v>
      </c>
    </row>
    <row r="41" customFormat="false" ht="15" hidden="false" customHeight="false" outlineLevel="0" collapsed="false">
      <c r="A41" s="23"/>
      <c r="B41" s="24" t="n">
        <v>9</v>
      </c>
      <c r="C41" s="23" t="s">
        <v>78</v>
      </c>
    </row>
    <row r="42" customFormat="false" ht="15" hidden="false" customHeight="false" outlineLevel="0" collapsed="false">
      <c r="A42" s="23"/>
      <c r="B42" s="24" t="n">
        <v>10</v>
      </c>
      <c r="C42" s="23" t="s">
        <v>80</v>
      </c>
    </row>
    <row r="43" customFormat="false" ht="15" hidden="false" customHeight="false" outlineLevel="0" collapsed="false">
      <c r="A43" s="23"/>
      <c r="B43" s="24" t="n">
        <v>11</v>
      </c>
      <c r="C43" s="23" t="s">
        <v>82</v>
      </c>
    </row>
    <row r="44" customFormat="false" ht="15" hidden="false" customHeight="false" outlineLevel="0" collapsed="false">
      <c r="A44" s="23"/>
      <c r="B44" s="24" t="n">
        <v>12</v>
      </c>
      <c r="C44" s="23" t="s">
        <v>83</v>
      </c>
    </row>
    <row r="45" customFormat="false" ht="15" hidden="false" customHeight="false" outlineLevel="0" collapsed="false">
      <c r="A45" s="27" t="s">
        <v>136</v>
      </c>
      <c r="B45" s="24" t="n">
        <v>1</v>
      </c>
      <c r="C45" s="23" t="s">
        <v>137</v>
      </c>
    </row>
    <row r="46" customFormat="false" ht="15" hidden="false" customHeight="false" outlineLevel="0" collapsed="false">
      <c r="A46" s="23"/>
      <c r="B46" s="24" t="n">
        <v>2</v>
      </c>
      <c r="C46" s="23" t="s">
        <v>147</v>
      </c>
    </row>
    <row r="47" customFormat="false" ht="15" hidden="false" customHeight="false" outlineLevel="0" collapsed="false">
      <c r="A47" s="23"/>
      <c r="B47" s="24" t="n">
        <v>3</v>
      </c>
      <c r="C47" s="23" t="s">
        <v>150</v>
      </c>
    </row>
    <row r="48" customFormat="false" ht="15" hidden="false" customHeight="false" outlineLevel="0" collapsed="false">
      <c r="A48" s="23"/>
      <c r="B48" s="24" t="n">
        <v>4</v>
      </c>
      <c r="C48" s="23" t="s">
        <v>162</v>
      </c>
    </row>
    <row r="49" customFormat="false" ht="15" hidden="false" customHeight="false" outlineLevel="0" collapsed="false">
      <c r="A49" s="23"/>
      <c r="B49" s="24" t="n">
        <v>5</v>
      </c>
      <c r="C49" s="23" t="s">
        <v>168</v>
      </c>
    </row>
    <row r="50" customFormat="false" ht="15" hidden="false" customHeight="false" outlineLevel="0" collapsed="false">
      <c r="A50" s="23"/>
      <c r="B50" s="24" t="n">
        <v>6</v>
      </c>
      <c r="C50" s="23" t="s">
        <v>179</v>
      </c>
    </row>
    <row r="51" customFormat="false" ht="15" hidden="false" customHeight="false" outlineLevel="0" collapsed="false">
      <c r="A51" s="27" t="s">
        <v>84</v>
      </c>
      <c r="B51" s="24" t="n">
        <v>1</v>
      </c>
      <c r="C51" s="23" t="s">
        <v>85</v>
      </c>
    </row>
    <row r="52" customFormat="false" ht="15" hidden="false" customHeight="false" outlineLevel="0" collapsed="false">
      <c r="A52" s="23"/>
      <c r="B52" s="24" t="n">
        <v>2</v>
      </c>
      <c r="C52" s="23" t="s">
        <v>91</v>
      </c>
    </row>
    <row r="53" customFormat="false" ht="15" hidden="false" customHeight="false" outlineLevel="0" collapsed="false">
      <c r="A53" s="23"/>
      <c r="B53" s="24" t="n">
        <v>3</v>
      </c>
      <c r="C53" s="23" t="s">
        <v>95</v>
      </c>
    </row>
    <row r="54" customFormat="false" ht="15" hidden="false" customHeight="false" outlineLevel="0" collapsed="false">
      <c r="A54" s="23"/>
      <c r="B54" s="24" t="n">
        <v>4</v>
      </c>
      <c r="C54" s="23" t="s">
        <v>107</v>
      </c>
    </row>
    <row r="55" customFormat="false" ht="15" hidden="false" customHeight="false" outlineLevel="0" collapsed="false">
      <c r="A55" s="23"/>
      <c r="B55" s="24" t="n">
        <v>5</v>
      </c>
      <c r="C55" s="23" t="s">
        <v>114</v>
      </c>
    </row>
    <row r="56" customFormat="false" ht="15" hidden="false" customHeight="false" outlineLevel="0" collapsed="false">
      <c r="A56" s="23"/>
      <c r="B56" s="24" t="n">
        <v>6</v>
      </c>
      <c r="C56" s="23" t="s">
        <v>117</v>
      </c>
    </row>
    <row r="57" customFormat="false" ht="15" hidden="false" customHeight="false" outlineLevel="0" collapsed="false">
      <c r="A57" s="23"/>
      <c r="B57" s="24" t="n">
        <v>7</v>
      </c>
      <c r="C57" s="23" t="s">
        <v>131</v>
      </c>
    </row>
    <row r="58" customFormat="false" ht="15" hidden="false" customHeight="false" outlineLevel="0" collapsed="false">
      <c r="A58" s="27" t="s">
        <v>119</v>
      </c>
      <c r="B58" s="24" t="n">
        <v>1</v>
      </c>
      <c r="C58" s="23" t="s">
        <v>120</v>
      </c>
    </row>
    <row r="59" customFormat="false" ht="15" hidden="false" customHeight="false" outlineLevel="0" collapsed="false">
      <c r="A59" s="23"/>
      <c r="B59" s="24" t="n">
        <v>2</v>
      </c>
      <c r="C59" s="23" t="s">
        <v>128</v>
      </c>
    </row>
    <row r="60" customFormat="false" ht="15" hidden="false" customHeight="false" outlineLevel="0" collapsed="false">
      <c r="A60" s="23"/>
      <c r="B60" s="24" t="n">
        <v>3</v>
      </c>
      <c r="C60" s="23" t="s">
        <v>142</v>
      </c>
    </row>
    <row r="61" customFormat="false" ht="15" hidden="false" customHeight="false" outlineLevel="0" collapsed="false">
      <c r="A61" s="23"/>
      <c r="B61" s="24" t="n">
        <v>4</v>
      </c>
      <c r="C61" s="23" t="s">
        <v>145</v>
      </c>
    </row>
    <row r="62" customFormat="false" ht="15" hidden="false" customHeight="false" outlineLevel="0" collapsed="false">
      <c r="A62" s="23"/>
      <c r="B62" s="24" t="n">
        <v>5</v>
      </c>
      <c r="C62" s="23" t="s">
        <v>152</v>
      </c>
    </row>
    <row r="63" customFormat="false" ht="15" hidden="false" customHeight="false" outlineLevel="0" collapsed="false">
      <c r="A63" s="23"/>
      <c r="B63" s="24" t="n">
        <v>6</v>
      </c>
      <c r="C63" s="23" t="s">
        <v>160</v>
      </c>
    </row>
    <row r="64" customFormat="false" ht="15" hidden="false" customHeight="false" outlineLevel="0" collapsed="false">
      <c r="A64" s="23"/>
      <c r="B64" s="24" t="n">
        <v>7</v>
      </c>
      <c r="C64" s="23" t="s">
        <v>161</v>
      </c>
    </row>
    <row r="65" customFormat="false" ht="15" hidden="false" customHeight="false" outlineLevel="0" collapsed="false">
      <c r="A65" s="27" t="s">
        <v>57</v>
      </c>
      <c r="B65" s="24" t="n">
        <v>1</v>
      </c>
      <c r="C65" s="23" t="s">
        <v>58</v>
      </c>
    </row>
    <row r="66" customFormat="false" ht="15" hidden="false" customHeight="false" outlineLevel="0" collapsed="false">
      <c r="A66" s="23"/>
      <c r="B66" s="24" t="n">
        <v>2</v>
      </c>
      <c r="C66" s="23" t="s">
        <v>60</v>
      </c>
    </row>
    <row r="67" customFormat="false" ht="15" hidden="false" customHeight="false" outlineLevel="0" collapsed="false">
      <c r="A67" s="23"/>
      <c r="B67" s="24" t="n">
        <v>3</v>
      </c>
      <c r="C67" s="23" t="s">
        <v>64</v>
      </c>
    </row>
    <row r="68" customFormat="false" ht="15" hidden="false" customHeight="false" outlineLevel="0" collapsed="false">
      <c r="A68" s="23"/>
      <c r="B68" s="24" t="n">
        <v>4</v>
      </c>
      <c r="C68" s="23" t="s">
        <v>67</v>
      </c>
    </row>
    <row r="69" customFormat="false" ht="15" hidden="false" customHeight="false" outlineLevel="0" collapsed="false">
      <c r="A69" s="23"/>
      <c r="B69" s="24" t="n">
        <v>5</v>
      </c>
      <c r="C69" s="23" t="s">
        <v>70</v>
      </c>
    </row>
    <row r="70" customFormat="false" ht="15" hidden="false" customHeight="false" outlineLevel="0" collapsed="false">
      <c r="A70" s="23"/>
      <c r="B70" s="24" t="n">
        <v>6</v>
      </c>
      <c r="C70" s="23" t="s">
        <v>73</v>
      </c>
    </row>
    <row r="71" customFormat="false" ht="15" hidden="false" customHeight="false" outlineLevel="0" collapsed="false">
      <c r="A71" s="23"/>
      <c r="B71" s="24" t="n">
        <v>7</v>
      </c>
      <c r="C71" s="23" t="s">
        <v>77</v>
      </c>
    </row>
    <row r="72" customFormat="false" ht="15" hidden="false" customHeight="false" outlineLevel="0" collapsed="false">
      <c r="A72" s="23"/>
      <c r="B72" s="24" t="n">
        <v>8</v>
      </c>
      <c r="C72" s="23" t="s">
        <v>81</v>
      </c>
    </row>
    <row r="73" customFormat="false" ht="15" hidden="false" customHeight="false" outlineLevel="0" collapsed="false">
      <c r="A73" s="27" t="s">
        <v>61</v>
      </c>
      <c r="B73" s="24" t="n">
        <v>1</v>
      </c>
      <c r="C73" s="23" t="s">
        <v>62</v>
      </c>
    </row>
    <row r="74" customFormat="false" ht="15" hidden="false" customHeight="false" outlineLevel="0" collapsed="false">
      <c r="A74" s="23"/>
      <c r="B74" s="24" t="n">
        <v>2</v>
      </c>
      <c r="C74" s="23" t="s">
        <v>89</v>
      </c>
    </row>
    <row r="75" customFormat="false" ht="15" hidden="false" customHeight="false" outlineLevel="0" collapsed="false">
      <c r="A75" s="23"/>
      <c r="B75" s="24" t="n">
        <v>3</v>
      </c>
      <c r="C75" s="23" t="s">
        <v>99</v>
      </c>
    </row>
    <row r="76" customFormat="false" ht="15" hidden="false" customHeight="false" outlineLevel="0" collapsed="false">
      <c r="A76" s="23"/>
      <c r="B76" s="24" t="n">
        <v>4</v>
      </c>
      <c r="C76" s="23" t="s">
        <v>104</v>
      </c>
    </row>
    <row r="77" customFormat="false" ht="15" hidden="false" customHeight="false" outlineLevel="0" collapsed="false">
      <c r="A77" s="23"/>
      <c r="B77" s="24" t="n">
        <v>5</v>
      </c>
      <c r="C77" s="23" t="s">
        <v>123</v>
      </c>
    </row>
    <row r="78" customFormat="false" ht="15" hidden="false" customHeight="false" outlineLevel="0" collapsed="false">
      <c r="A78" s="23"/>
      <c r="B78" s="24" t="n">
        <v>6</v>
      </c>
      <c r="C78" s="23" t="s">
        <v>125</v>
      </c>
    </row>
    <row r="79" customFormat="false" ht="15" hidden="false" customHeight="false" outlineLevel="0" collapsed="false">
      <c r="A79" s="23"/>
      <c r="B79" s="24" t="n">
        <v>7</v>
      </c>
      <c r="C79" s="23" t="s">
        <v>126</v>
      </c>
    </row>
    <row r="80" customFormat="false" ht="15" hidden="false" customHeight="false" outlineLevel="0" collapsed="false">
      <c r="A80" s="23"/>
      <c r="B80" s="24" t="n">
        <v>8</v>
      </c>
      <c r="C80" s="23" t="s">
        <v>127</v>
      </c>
    </row>
    <row r="81" customFormat="false" ht="15" hidden="false" customHeight="false" outlineLevel="0" collapsed="false">
      <c r="A81" s="27" t="s">
        <v>49</v>
      </c>
      <c r="B81" s="24" t="n">
        <v>1</v>
      </c>
      <c r="C81" s="23" t="s">
        <v>50</v>
      </c>
    </row>
    <row r="82" customFormat="false" ht="15" hidden="false" customHeight="false" outlineLevel="0" collapsed="false">
      <c r="A82" s="23"/>
      <c r="B82" s="24" t="n">
        <v>2</v>
      </c>
      <c r="C82" s="23" t="s">
        <v>63</v>
      </c>
    </row>
    <row r="83" customFormat="false" ht="15" hidden="false" customHeight="false" outlineLevel="0" collapsed="false">
      <c r="A83" s="23"/>
      <c r="B83" s="24" t="n">
        <v>3</v>
      </c>
      <c r="C83" s="23" t="s">
        <v>68</v>
      </c>
    </row>
    <row r="84" customFormat="false" ht="15" hidden="false" customHeight="false" outlineLevel="0" collapsed="false">
      <c r="A84" s="23"/>
      <c r="B84" s="24" t="n">
        <v>4</v>
      </c>
      <c r="C84" s="23" t="s">
        <v>72</v>
      </c>
    </row>
    <row r="85" customFormat="false" ht="15" hidden="false" customHeight="false" outlineLevel="0" collapsed="false">
      <c r="A85" s="23"/>
      <c r="B85" s="24" t="n">
        <v>5</v>
      </c>
      <c r="C85" s="23" t="s">
        <v>79</v>
      </c>
    </row>
    <row r="86" customFormat="false" ht="15" hidden="false" customHeight="false" outlineLevel="0" collapsed="false">
      <c r="A86" s="23"/>
      <c r="B86" s="24" t="n">
        <v>6</v>
      </c>
      <c r="C86" s="23" t="s">
        <v>98</v>
      </c>
    </row>
    <row r="87" customFormat="false" ht="15" hidden="false" customHeight="false" outlineLevel="0" collapsed="false">
      <c r="A87" s="23"/>
      <c r="B87" s="24" t="n">
        <v>7</v>
      </c>
      <c r="C87" s="23" t="s">
        <v>100</v>
      </c>
    </row>
    <row r="88" customFormat="false" ht="15" hidden="false" customHeight="false" outlineLevel="0" collapsed="false">
      <c r="A88" s="27" t="s">
        <v>96</v>
      </c>
      <c r="B88" s="24" t="n">
        <v>1</v>
      </c>
      <c r="C88" s="23" t="s">
        <v>97</v>
      </c>
    </row>
    <row r="89" customFormat="false" ht="15" hidden="false" customHeight="false" outlineLevel="0" collapsed="false">
      <c r="A89" s="23"/>
      <c r="B89" s="24" t="n">
        <v>2</v>
      </c>
      <c r="C89" s="23" t="s">
        <v>116</v>
      </c>
    </row>
    <row r="90" customFormat="false" ht="15" hidden="false" customHeight="false" outlineLevel="0" collapsed="false">
      <c r="A90" s="23"/>
      <c r="B90" s="24" t="n">
        <v>3</v>
      </c>
      <c r="C90" s="23" t="s">
        <v>135</v>
      </c>
    </row>
    <row r="91" customFormat="false" ht="15" hidden="false" customHeight="false" outlineLevel="0" collapsed="false">
      <c r="A91" s="23"/>
      <c r="B91" s="24" t="n">
        <v>4</v>
      </c>
      <c r="C91" s="23" t="s">
        <v>141</v>
      </c>
    </row>
    <row r="92" customFormat="false" ht="15" hidden="false" customHeight="false" outlineLevel="0" collapsed="false">
      <c r="A92" s="23"/>
      <c r="B92" s="24" t="n">
        <v>5</v>
      </c>
      <c r="C92" s="23" t="s">
        <v>159</v>
      </c>
    </row>
    <row r="93" customFormat="false" ht="15" hidden="false" customHeight="false" outlineLevel="0" collapsed="false">
      <c r="A93" s="23"/>
      <c r="B93" s="24" t="n">
        <v>6</v>
      </c>
      <c r="C93" s="23" t="s">
        <v>164</v>
      </c>
    </row>
    <row r="94" customFormat="false" ht="15" hidden="false" customHeight="false" outlineLevel="0" collapsed="false">
      <c r="A94" s="23"/>
      <c r="B94" s="24" t="n">
        <v>7</v>
      </c>
      <c r="C94" s="23" t="s">
        <v>167</v>
      </c>
    </row>
    <row r="95" customFormat="false" ht="15" hidden="false" customHeight="false" outlineLevel="0" collapsed="false">
      <c r="A95" s="27" t="s">
        <v>92</v>
      </c>
      <c r="B95" s="24" t="n">
        <v>1</v>
      </c>
      <c r="C95" s="23" t="s">
        <v>93</v>
      </c>
    </row>
    <row r="96" customFormat="false" ht="15" hidden="false" customHeight="false" outlineLevel="0" collapsed="false">
      <c r="A96" s="23"/>
      <c r="B96" s="24" t="n">
        <v>2</v>
      </c>
      <c r="C96" s="23" t="s">
        <v>108</v>
      </c>
    </row>
    <row r="97" customFormat="false" ht="15" hidden="false" customHeight="false" outlineLevel="0" collapsed="false">
      <c r="A97" s="23"/>
      <c r="B97" s="24" t="n">
        <v>3</v>
      </c>
      <c r="C97" s="23" t="s">
        <v>124</v>
      </c>
    </row>
    <row r="98" customFormat="false" ht="15" hidden="false" customHeight="false" outlineLevel="0" collapsed="false">
      <c r="A98" s="23"/>
      <c r="B98" s="24" t="n">
        <v>4</v>
      </c>
      <c r="C98" s="23" t="s">
        <v>133</v>
      </c>
    </row>
    <row r="99" customFormat="false" ht="15" hidden="false" customHeight="false" outlineLevel="0" collapsed="false">
      <c r="A99" s="23"/>
      <c r="B99" s="24" t="n">
        <v>5</v>
      </c>
      <c r="C99" s="23" t="s">
        <v>151</v>
      </c>
    </row>
    <row r="100" customFormat="false" ht="15" hidden="false" customHeight="false" outlineLevel="0" collapsed="false">
      <c r="A100" s="23"/>
      <c r="B100" s="24" t="n">
        <v>6</v>
      </c>
      <c r="C100" s="23" t="s">
        <v>153</v>
      </c>
    </row>
    <row r="101" customFormat="false" ht="15" hidden="false" customHeight="false" outlineLevel="0" collapsed="false">
      <c r="A101" s="23"/>
      <c r="B101" s="24" t="n">
        <v>7</v>
      </c>
      <c r="C101" s="23" t="s">
        <v>165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34"/>
    <col collapsed="false" customWidth="true" hidden="false" outlineLevel="0" max="4" min="4" style="0" width="8"/>
    <col collapsed="false" customWidth="true" hidden="false" outlineLevel="0" max="6" min="5" style="0" width="11"/>
    <col collapsed="false" customWidth="true" hidden="false" outlineLevel="0" max="7" min="7" style="0" width="12"/>
    <col collapsed="false" customWidth="true" hidden="false" outlineLevel="0" max="8" min="8" style="0" width="10"/>
    <col collapsed="false" customWidth="true" hidden="false" outlineLevel="0" max="10" min="9" style="0" width="9"/>
    <col collapsed="false" customWidth="true" hidden="false" outlineLevel="0" max="11" min="11" style="0" width="10"/>
    <col collapsed="false" customWidth="true" hidden="false" outlineLevel="0" max="12" min="12" style="0" width="11"/>
    <col collapsed="false" customWidth="true" hidden="false" outlineLevel="0" max="13" min="13" style="0" width="10"/>
    <col collapsed="false" customWidth="true" hidden="false" outlineLevel="0" max="14" min="14" style="0" width="13"/>
  </cols>
  <sheetData>
    <row r="1" customFormat="false" ht="18.55" hidden="false" customHeight="false" outlineLevel="0" collapsed="false">
      <c r="A1" s="1" t="s">
        <v>180</v>
      </c>
    </row>
    <row r="2" customFormat="false" ht="15" hidden="false" customHeight="false" outlineLevel="0" collapsed="false">
      <c r="A2" s="2" t="s">
        <v>181</v>
      </c>
    </row>
    <row r="4" customFormat="false" ht="27.75" hidden="false" customHeight="true" outlineLevel="0" collapsed="false">
      <c r="A4" s="11" t="s">
        <v>37</v>
      </c>
      <c r="B4" s="11" t="s">
        <v>39</v>
      </c>
      <c r="C4" s="11" t="s">
        <v>182</v>
      </c>
      <c r="D4" s="11" t="s">
        <v>183</v>
      </c>
      <c r="E4" s="11" t="s">
        <v>184</v>
      </c>
      <c r="F4" s="11" t="s">
        <v>185</v>
      </c>
      <c r="G4" s="11" t="s">
        <v>186</v>
      </c>
      <c r="H4" s="11" t="s">
        <v>187</v>
      </c>
      <c r="I4" s="11" t="s">
        <v>188</v>
      </c>
      <c r="J4" s="11" t="s">
        <v>189</v>
      </c>
      <c r="K4" s="11" t="s">
        <v>190</v>
      </c>
      <c r="L4" s="11" t="s">
        <v>191</v>
      </c>
      <c r="M4" s="11" t="s">
        <v>192</v>
      </c>
      <c r="N4" s="11" t="s">
        <v>193</v>
      </c>
    </row>
    <row r="5" customFormat="false" ht="15" hidden="false" customHeight="false" outlineLevel="0" collapsed="false">
      <c r="A5" s="28" t="s">
        <v>194</v>
      </c>
      <c r="B5" s="28" t="s">
        <v>45</v>
      </c>
      <c r="C5" s="28" t="s">
        <v>46</v>
      </c>
      <c r="D5" s="28" t="n">
        <v>18</v>
      </c>
      <c r="E5" s="28" t="s">
        <v>195</v>
      </c>
      <c r="F5" s="29" t="n">
        <v>42000</v>
      </c>
      <c r="G5" s="30" t="n">
        <v>0.61</v>
      </c>
      <c r="H5" s="29" t="n">
        <v>310</v>
      </c>
      <c r="I5" s="29" t="n">
        <v>540</v>
      </c>
      <c r="J5" s="29" t="n">
        <v>220</v>
      </c>
      <c r="K5" s="29" t="n">
        <v>95</v>
      </c>
      <c r="L5" s="31" t="n">
        <f aca="false">IFERROR(H5/F5*1000,"")</f>
        <v>7.38095238095238</v>
      </c>
      <c r="M5" s="31" t="n">
        <f aca="false">IFERROR(I5/F5*1000,"")</f>
        <v>12.8571428571429</v>
      </c>
      <c r="N5" s="32" t="str">
        <f aca="false">IF(G5="","",IF(G5&gt;=0.5,"PASS","FIX HOOK"))</f>
        <v>PASS</v>
      </c>
    </row>
    <row r="6" customFormat="false" ht="15" hidden="false" customHeight="false" outlineLevel="0" collapsed="false">
      <c r="A6" s="33"/>
      <c r="B6" s="33"/>
      <c r="C6" s="33"/>
      <c r="D6" s="33"/>
      <c r="E6" s="33"/>
      <c r="F6" s="34"/>
      <c r="G6" s="35"/>
      <c r="H6" s="34"/>
      <c r="I6" s="34"/>
      <c r="J6" s="34"/>
      <c r="K6" s="34"/>
      <c r="L6" s="31" t="str">
        <f aca="false">IFERROR(H6/F6*1000,"")</f>
        <v/>
      </c>
      <c r="M6" s="31" t="str">
        <f aca="false">IFERROR(I6/F6*1000,"")</f>
        <v/>
      </c>
      <c r="N6" s="32" t="str">
        <f aca="false">IF(G6="","",IF(G6&gt;=0.5,"PASS","FIX HOOK"))</f>
        <v/>
      </c>
    </row>
    <row r="7" customFormat="false" ht="15" hidden="false" customHeight="false" outlineLevel="0" collapsed="false">
      <c r="A7" s="33"/>
      <c r="B7" s="33"/>
      <c r="C7" s="33"/>
      <c r="D7" s="33"/>
      <c r="E7" s="33"/>
      <c r="F7" s="34"/>
      <c r="G7" s="35"/>
      <c r="H7" s="34"/>
      <c r="I7" s="34"/>
      <c r="J7" s="34"/>
      <c r="K7" s="34"/>
      <c r="L7" s="31" t="str">
        <f aca="false">IFERROR(H7/F7*1000,"")</f>
        <v/>
      </c>
      <c r="M7" s="31" t="str">
        <f aca="false">IFERROR(I7/F7*1000,"")</f>
        <v/>
      </c>
      <c r="N7" s="32" t="str">
        <f aca="false">IF(G7="","",IF(G7&gt;=0.5,"PASS","FIX HOOK"))</f>
        <v/>
      </c>
    </row>
    <row r="8" customFormat="false" ht="15" hidden="false" customHeight="false" outlineLevel="0" collapsed="false">
      <c r="A8" s="33"/>
      <c r="B8" s="33"/>
      <c r="C8" s="33"/>
      <c r="D8" s="33"/>
      <c r="E8" s="33"/>
      <c r="F8" s="34"/>
      <c r="G8" s="35"/>
      <c r="H8" s="34"/>
      <c r="I8" s="34"/>
      <c r="J8" s="34"/>
      <c r="K8" s="34"/>
      <c r="L8" s="31" t="str">
        <f aca="false">IFERROR(H8/F8*1000,"")</f>
        <v/>
      </c>
      <c r="M8" s="31" t="str">
        <f aca="false">IFERROR(I8/F8*1000,"")</f>
        <v/>
      </c>
      <c r="N8" s="32" t="str">
        <f aca="false">IF(G8="","",IF(G8&gt;=0.5,"PASS","FIX HOOK"))</f>
        <v/>
      </c>
    </row>
    <row r="9" customFormat="false" ht="15" hidden="false" customHeight="false" outlineLevel="0" collapsed="false">
      <c r="A9" s="33"/>
      <c r="B9" s="33"/>
      <c r="C9" s="33"/>
      <c r="D9" s="33"/>
      <c r="E9" s="33"/>
      <c r="F9" s="34"/>
      <c r="G9" s="35"/>
      <c r="H9" s="34"/>
      <c r="I9" s="34"/>
      <c r="J9" s="34"/>
      <c r="K9" s="34"/>
      <c r="L9" s="31" t="str">
        <f aca="false">IFERROR(H9/F9*1000,"")</f>
        <v/>
      </c>
      <c r="M9" s="31" t="str">
        <f aca="false">IFERROR(I9/F9*1000,"")</f>
        <v/>
      </c>
      <c r="N9" s="32" t="str">
        <f aca="false">IF(G9="","",IF(G9&gt;=0.5,"PASS","FIX HOOK"))</f>
        <v/>
      </c>
    </row>
    <row r="10" customFormat="false" ht="15" hidden="false" customHeight="false" outlineLevel="0" collapsed="false">
      <c r="A10" s="33"/>
      <c r="B10" s="33"/>
      <c r="C10" s="33"/>
      <c r="D10" s="33"/>
      <c r="E10" s="33"/>
      <c r="F10" s="34"/>
      <c r="G10" s="35"/>
      <c r="H10" s="34"/>
      <c r="I10" s="34"/>
      <c r="J10" s="34"/>
      <c r="K10" s="34"/>
      <c r="L10" s="31" t="str">
        <f aca="false">IFERROR(H10/F10*1000,"")</f>
        <v/>
      </c>
      <c r="M10" s="31" t="str">
        <f aca="false">IFERROR(I10/F10*1000,"")</f>
        <v/>
      </c>
      <c r="N10" s="32" t="str">
        <f aca="false">IF(G10="","",IF(G10&gt;=0.5,"PASS","FIX HOOK"))</f>
        <v/>
      </c>
    </row>
    <row r="11" customFormat="false" ht="15" hidden="false" customHeight="false" outlineLevel="0" collapsed="false">
      <c r="A11" s="33"/>
      <c r="B11" s="33"/>
      <c r="C11" s="33"/>
      <c r="D11" s="33"/>
      <c r="E11" s="33"/>
      <c r="F11" s="34"/>
      <c r="G11" s="35"/>
      <c r="H11" s="34"/>
      <c r="I11" s="34"/>
      <c r="J11" s="34"/>
      <c r="K11" s="34"/>
      <c r="L11" s="31" t="str">
        <f aca="false">IFERROR(H11/F11*1000,"")</f>
        <v/>
      </c>
      <c r="M11" s="31" t="str">
        <f aca="false">IFERROR(I11/F11*1000,"")</f>
        <v/>
      </c>
      <c r="N11" s="32" t="str">
        <f aca="false">IF(G11="","",IF(G11&gt;=0.5,"PASS","FIX HOOK"))</f>
        <v/>
      </c>
    </row>
    <row r="12" customFormat="false" ht="15" hidden="false" customHeight="false" outlineLevel="0" collapsed="false">
      <c r="A12" s="33"/>
      <c r="B12" s="33"/>
      <c r="C12" s="33"/>
      <c r="D12" s="33"/>
      <c r="E12" s="33"/>
      <c r="F12" s="34"/>
      <c r="G12" s="35"/>
      <c r="H12" s="34"/>
      <c r="I12" s="34"/>
      <c r="J12" s="34"/>
      <c r="K12" s="34"/>
      <c r="L12" s="31" t="str">
        <f aca="false">IFERROR(H12/F12*1000,"")</f>
        <v/>
      </c>
      <c r="M12" s="31" t="str">
        <f aca="false">IFERROR(I12/F12*1000,"")</f>
        <v/>
      </c>
      <c r="N12" s="32" t="str">
        <f aca="false">IF(G12="","",IF(G12&gt;=0.5,"PASS","FIX HOOK"))</f>
        <v/>
      </c>
    </row>
    <row r="13" customFormat="false" ht="15" hidden="false" customHeight="false" outlineLevel="0" collapsed="false">
      <c r="A13" s="33"/>
      <c r="B13" s="33"/>
      <c r="C13" s="33"/>
      <c r="D13" s="33"/>
      <c r="E13" s="33"/>
      <c r="F13" s="34"/>
      <c r="G13" s="35"/>
      <c r="H13" s="34"/>
      <c r="I13" s="34"/>
      <c r="J13" s="34"/>
      <c r="K13" s="34"/>
      <c r="L13" s="31" t="str">
        <f aca="false">IFERROR(H13/F13*1000,"")</f>
        <v/>
      </c>
      <c r="M13" s="31" t="str">
        <f aca="false">IFERROR(I13/F13*1000,"")</f>
        <v/>
      </c>
      <c r="N13" s="32" t="str">
        <f aca="false">IF(G13="","",IF(G13&gt;=0.5,"PASS","FIX HOOK"))</f>
        <v/>
      </c>
    </row>
    <row r="14" customFormat="false" ht="15" hidden="false" customHeight="false" outlineLevel="0" collapsed="false">
      <c r="A14" s="33"/>
      <c r="B14" s="33"/>
      <c r="C14" s="33"/>
      <c r="D14" s="33"/>
      <c r="E14" s="33"/>
      <c r="F14" s="34"/>
      <c r="G14" s="35"/>
      <c r="H14" s="34"/>
      <c r="I14" s="34"/>
      <c r="J14" s="34"/>
      <c r="K14" s="34"/>
      <c r="L14" s="31" t="str">
        <f aca="false">IFERROR(H14/F14*1000,"")</f>
        <v/>
      </c>
      <c r="M14" s="31" t="str">
        <f aca="false">IFERROR(I14/F14*1000,"")</f>
        <v/>
      </c>
      <c r="N14" s="32" t="str">
        <f aca="false">IF(G14="","",IF(G14&gt;=0.5,"PASS","FIX HOOK"))</f>
        <v/>
      </c>
    </row>
    <row r="15" customFormat="false" ht="15" hidden="false" customHeight="false" outlineLevel="0" collapsed="false">
      <c r="A15" s="33"/>
      <c r="B15" s="33"/>
      <c r="C15" s="33"/>
      <c r="D15" s="33"/>
      <c r="E15" s="33"/>
      <c r="F15" s="34"/>
      <c r="G15" s="35"/>
      <c r="H15" s="34"/>
      <c r="I15" s="34"/>
      <c r="J15" s="34"/>
      <c r="K15" s="34"/>
      <c r="L15" s="31" t="str">
        <f aca="false">IFERROR(H15/F15*1000,"")</f>
        <v/>
      </c>
      <c r="M15" s="31" t="str">
        <f aca="false">IFERROR(I15/F15*1000,"")</f>
        <v/>
      </c>
      <c r="N15" s="32" t="str">
        <f aca="false">IF(G15="","",IF(G15&gt;=0.5,"PASS","FIX HOOK"))</f>
        <v/>
      </c>
    </row>
    <row r="16" customFormat="false" ht="15" hidden="false" customHeight="false" outlineLevel="0" collapsed="false">
      <c r="A16" s="33"/>
      <c r="B16" s="33"/>
      <c r="C16" s="33"/>
      <c r="D16" s="33"/>
      <c r="E16" s="33"/>
      <c r="F16" s="34"/>
      <c r="G16" s="35"/>
      <c r="H16" s="34"/>
      <c r="I16" s="34"/>
      <c r="J16" s="34"/>
      <c r="K16" s="34"/>
      <c r="L16" s="31" t="str">
        <f aca="false">IFERROR(H16/F16*1000,"")</f>
        <v/>
      </c>
      <c r="M16" s="31" t="str">
        <f aca="false">IFERROR(I16/F16*1000,"")</f>
        <v/>
      </c>
      <c r="N16" s="32" t="str">
        <f aca="false">IF(G16="","",IF(G16&gt;=0.5,"PASS","FIX HOOK"))</f>
        <v/>
      </c>
    </row>
    <row r="17" customFormat="false" ht="15" hidden="false" customHeight="false" outlineLevel="0" collapsed="false">
      <c r="A17" s="33"/>
      <c r="B17" s="33"/>
      <c r="C17" s="33"/>
      <c r="D17" s="33"/>
      <c r="E17" s="33"/>
      <c r="F17" s="34"/>
      <c r="G17" s="35"/>
      <c r="H17" s="34"/>
      <c r="I17" s="34"/>
      <c r="J17" s="34"/>
      <c r="K17" s="34"/>
      <c r="L17" s="31" t="str">
        <f aca="false">IFERROR(H17/F17*1000,"")</f>
        <v/>
      </c>
      <c r="M17" s="31" t="str">
        <f aca="false">IFERROR(I17/F17*1000,"")</f>
        <v/>
      </c>
      <c r="N17" s="32" t="str">
        <f aca="false">IF(G17="","",IF(G17&gt;=0.5,"PASS","FIX HOOK"))</f>
        <v/>
      </c>
    </row>
    <row r="18" customFormat="false" ht="15" hidden="false" customHeight="false" outlineLevel="0" collapsed="false">
      <c r="A18" s="33"/>
      <c r="B18" s="33"/>
      <c r="C18" s="33"/>
      <c r="D18" s="33"/>
      <c r="E18" s="33"/>
      <c r="F18" s="34"/>
      <c r="G18" s="35"/>
      <c r="H18" s="34"/>
      <c r="I18" s="34"/>
      <c r="J18" s="34"/>
      <c r="K18" s="34"/>
      <c r="L18" s="31" t="str">
        <f aca="false">IFERROR(H18/F18*1000,"")</f>
        <v/>
      </c>
      <c r="M18" s="31" t="str">
        <f aca="false">IFERROR(I18/F18*1000,"")</f>
        <v/>
      </c>
      <c r="N18" s="32" t="str">
        <f aca="false">IF(G18="","",IF(G18&gt;=0.5,"PASS","FIX HOOK"))</f>
        <v/>
      </c>
    </row>
    <row r="19" customFormat="false" ht="15" hidden="false" customHeight="false" outlineLevel="0" collapsed="false">
      <c r="A19" s="33"/>
      <c r="B19" s="33"/>
      <c r="C19" s="33"/>
      <c r="D19" s="33"/>
      <c r="E19" s="33"/>
      <c r="F19" s="34"/>
      <c r="G19" s="35"/>
      <c r="H19" s="34"/>
      <c r="I19" s="34"/>
      <c r="J19" s="34"/>
      <c r="K19" s="34"/>
      <c r="L19" s="31" t="str">
        <f aca="false">IFERROR(H19/F19*1000,"")</f>
        <v/>
      </c>
      <c r="M19" s="31" t="str">
        <f aca="false">IFERROR(I19/F19*1000,"")</f>
        <v/>
      </c>
      <c r="N19" s="32" t="str">
        <f aca="false">IF(G19="","",IF(G19&gt;=0.5,"PASS","FIX HOOK"))</f>
        <v/>
      </c>
    </row>
    <row r="20" customFormat="false" ht="15" hidden="false" customHeight="false" outlineLevel="0" collapsed="false">
      <c r="A20" s="33"/>
      <c r="B20" s="33"/>
      <c r="C20" s="33"/>
      <c r="D20" s="33"/>
      <c r="E20" s="33"/>
      <c r="F20" s="34"/>
      <c r="G20" s="35"/>
      <c r="H20" s="34"/>
      <c r="I20" s="34"/>
      <c r="J20" s="34"/>
      <c r="K20" s="34"/>
      <c r="L20" s="31" t="str">
        <f aca="false">IFERROR(H20/F20*1000,"")</f>
        <v/>
      </c>
      <c r="M20" s="31" t="str">
        <f aca="false">IFERROR(I20/F20*1000,"")</f>
        <v/>
      </c>
      <c r="N20" s="32" t="str">
        <f aca="false">IF(G20="","",IF(G20&gt;=0.5,"PASS","FIX HOOK"))</f>
        <v/>
      </c>
    </row>
    <row r="21" customFormat="false" ht="15" hidden="false" customHeight="false" outlineLevel="0" collapsed="false">
      <c r="A21" s="33"/>
      <c r="B21" s="33"/>
      <c r="C21" s="33"/>
      <c r="D21" s="33"/>
      <c r="E21" s="33"/>
      <c r="F21" s="34"/>
      <c r="G21" s="35"/>
      <c r="H21" s="34"/>
      <c r="I21" s="34"/>
      <c r="J21" s="34"/>
      <c r="K21" s="34"/>
      <c r="L21" s="31" t="str">
        <f aca="false">IFERROR(H21/F21*1000,"")</f>
        <v/>
      </c>
      <c r="M21" s="31" t="str">
        <f aca="false">IFERROR(I21/F21*1000,"")</f>
        <v/>
      </c>
      <c r="N21" s="32" t="str">
        <f aca="false">IF(G21="","",IF(G21&gt;=0.5,"PASS","FIX HOOK"))</f>
        <v/>
      </c>
    </row>
    <row r="22" customFormat="false" ht="15" hidden="false" customHeight="false" outlineLevel="0" collapsed="false">
      <c r="A22" s="33"/>
      <c r="B22" s="33"/>
      <c r="C22" s="33"/>
      <c r="D22" s="33"/>
      <c r="E22" s="33"/>
      <c r="F22" s="34"/>
      <c r="G22" s="35"/>
      <c r="H22" s="34"/>
      <c r="I22" s="34"/>
      <c r="J22" s="34"/>
      <c r="K22" s="34"/>
      <c r="L22" s="31" t="str">
        <f aca="false">IFERROR(H22/F22*1000,"")</f>
        <v/>
      </c>
      <c r="M22" s="31" t="str">
        <f aca="false">IFERROR(I22/F22*1000,"")</f>
        <v/>
      </c>
      <c r="N22" s="32" t="str">
        <f aca="false">IF(G22="","",IF(G22&gt;=0.5,"PASS","FIX HOOK"))</f>
        <v/>
      </c>
    </row>
    <row r="23" customFormat="false" ht="15" hidden="false" customHeight="false" outlineLevel="0" collapsed="false">
      <c r="A23" s="33"/>
      <c r="B23" s="33"/>
      <c r="C23" s="33"/>
      <c r="D23" s="33"/>
      <c r="E23" s="33"/>
      <c r="F23" s="34"/>
      <c r="G23" s="35"/>
      <c r="H23" s="34"/>
      <c r="I23" s="34"/>
      <c r="J23" s="34"/>
      <c r="K23" s="34"/>
      <c r="L23" s="31" t="str">
        <f aca="false">IFERROR(H23/F23*1000,"")</f>
        <v/>
      </c>
      <c r="M23" s="31" t="str">
        <f aca="false">IFERROR(I23/F23*1000,"")</f>
        <v/>
      </c>
      <c r="N23" s="32" t="str">
        <f aca="false">IF(G23="","",IF(G23&gt;=0.5,"PASS","FIX HOOK"))</f>
        <v/>
      </c>
    </row>
    <row r="24" customFormat="false" ht="15" hidden="false" customHeight="false" outlineLevel="0" collapsed="false">
      <c r="A24" s="33"/>
      <c r="B24" s="33"/>
      <c r="C24" s="33"/>
      <c r="D24" s="33"/>
      <c r="E24" s="33"/>
      <c r="F24" s="34"/>
      <c r="G24" s="35"/>
      <c r="H24" s="34"/>
      <c r="I24" s="34"/>
      <c r="J24" s="34"/>
      <c r="K24" s="34"/>
      <c r="L24" s="31" t="str">
        <f aca="false">IFERROR(H24/F24*1000,"")</f>
        <v/>
      </c>
      <c r="M24" s="31" t="str">
        <f aca="false">IFERROR(I24/F24*1000,"")</f>
        <v/>
      </c>
      <c r="N24" s="32" t="str">
        <f aca="false">IF(G24="","",IF(G24&gt;=0.5,"PASS","FIX HOOK"))</f>
        <v/>
      </c>
    </row>
    <row r="25" customFormat="false" ht="15" hidden="false" customHeight="false" outlineLevel="0" collapsed="false">
      <c r="A25" s="33"/>
      <c r="B25" s="33"/>
      <c r="C25" s="33"/>
      <c r="D25" s="33"/>
      <c r="E25" s="33"/>
      <c r="F25" s="34"/>
      <c r="G25" s="35"/>
      <c r="H25" s="34"/>
      <c r="I25" s="34"/>
      <c r="J25" s="34"/>
      <c r="K25" s="34"/>
      <c r="L25" s="31" t="str">
        <f aca="false">IFERROR(H25/F25*1000,"")</f>
        <v/>
      </c>
      <c r="M25" s="31" t="str">
        <f aca="false">IFERROR(I25/F25*1000,"")</f>
        <v/>
      </c>
      <c r="N25" s="32" t="str">
        <f aca="false">IF(G25="","",IF(G25&gt;=0.5,"PASS","FIX HOOK"))</f>
        <v/>
      </c>
    </row>
    <row r="26" customFormat="false" ht="15" hidden="false" customHeight="false" outlineLevel="0" collapsed="false">
      <c r="A26" s="33"/>
      <c r="B26" s="33"/>
      <c r="C26" s="33"/>
      <c r="D26" s="33"/>
      <c r="E26" s="33"/>
      <c r="F26" s="34"/>
      <c r="G26" s="35"/>
      <c r="H26" s="34"/>
      <c r="I26" s="34"/>
      <c r="J26" s="34"/>
      <c r="K26" s="34"/>
      <c r="L26" s="31" t="str">
        <f aca="false">IFERROR(H26/F26*1000,"")</f>
        <v/>
      </c>
      <c r="M26" s="31" t="str">
        <f aca="false">IFERROR(I26/F26*1000,"")</f>
        <v/>
      </c>
      <c r="N26" s="32" t="str">
        <f aca="false">IF(G26="","",IF(G26&gt;=0.5,"PASS","FIX HOOK"))</f>
        <v/>
      </c>
    </row>
    <row r="27" customFormat="false" ht="15" hidden="false" customHeight="false" outlineLevel="0" collapsed="false">
      <c r="A27" s="33"/>
      <c r="B27" s="33"/>
      <c r="C27" s="33"/>
      <c r="D27" s="33"/>
      <c r="E27" s="33"/>
      <c r="F27" s="34"/>
      <c r="G27" s="35"/>
      <c r="H27" s="34"/>
      <c r="I27" s="34"/>
      <c r="J27" s="34"/>
      <c r="K27" s="34"/>
      <c r="L27" s="31" t="str">
        <f aca="false">IFERROR(H27/F27*1000,"")</f>
        <v/>
      </c>
      <c r="M27" s="31" t="str">
        <f aca="false">IFERROR(I27/F27*1000,"")</f>
        <v/>
      </c>
      <c r="N27" s="32" t="str">
        <f aca="false">IF(G27="","",IF(G27&gt;=0.5,"PASS","FIX HOOK"))</f>
        <v/>
      </c>
    </row>
    <row r="28" customFormat="false" ht="15" hidden="false" customHeight="false" outlineLevel="0" collapsed="false">
      <c r="A28" s="33"/>
      <c r="B28" s="33"/>
      <c r="C28" s="33"/>
      <c r="D28" s="33"/>
      <c r="E28" s="33"/>
      <c r="F28" s="34"/>
      <c r="G28" s="35"/>
      <c r="H28" s="34"/>
      <c r="I28" s="34"/>
      <c r="J28" s="34"/>
      <c r="K28" s="34"/>
      <c r="L28" s="31" t="str">
        <f aca="false">IFERROR(H28/F28*1000,"")</f>
        <v/>
      </c>
      <c r="M28" s="31" t="str">
        <f aca="false">IFERROR(I28/F28*1000,"")</f>
        <v/>
      </c>
      <c r="N28" s="32" t="str">
        <f aca="false">IF(G28="","",IF(G28&gt;=0.5,"PASS","FIX HOOK"))</f>
        <v/>
      </c>
    </row>
    <row r="29" customFormat="false" ht="15" hidden="false" customHeight="false" outlineLevel="0" collapsed="false">
      <c r="A29" s="33"/>
      <c r="B29" s="33"/>
      <c r="C29" s="33"/>
      <c r="D29" s="33"/>
      <c r="E29" s="33"/>
      <c r="F29" s="34"/>
      <c r="G29" s="35"/>
      <c r="H29" s="34"/>
      <c r="I29" s="34"/>
      <c r="J29" s="34"/>
      <c r="K29" s="34"/>
      <c r="L29" s="31" t="str">
        <f aca="false">IFERROR(H29/F29*1000,"")</f>
        <v/>
      </c>
      <c r="M29" s="31" t="str">
        <f aca="false">IFERROR(I29/F29*1000,"")</f>
        <v/>
      </c>
      <c r="N29" s="32" t="str">
        <f aca="false">IF(G29="","",IF(G29&gt;=0.5,"PASS","FIX HOOK"))</f>
        <v/>
      </c>
    </row>
    <row r="30" customFormat="false" ht="15" hidden="false" customHeight="false" outlineLevel="0" collapsed="false">
      <c r="A30" s="33"/>
      <c r="B30" s="33"/>
      <c r="C30" s="33"/>
      <c r="D30" s="33"/>
      <c r="E30" s="33"/>
      <c r="F30" s="34"/>
      <c r="G30" s="35"/>
      <c r="H30" s="34"/>
      <c r="I30" s="34"/>
      <c r="J30" s="34"/>
      <c r="K30" s="34"/>
      <c r="L30" s="31" t="str">
        <f aca="false">IFERROR(H30/F30*1000,"")</f>
        <v/>
      </c>
      <c r="M30" s="31" t="str">
        <f aca="false">IFERROR(I30/F30*1000,"")</f>
        <v/>
      </c>
      <c r="N30" s="32" t="str">
        <f aca="false">IF(G30="","",IF(G30&gt;=0.5,"PASS","FIX HOOK"))</f>
        <v/>
      </c>
    </row>
    <row r="31" customFormat="false" ht="15" hidden="false" customHeight="false" outlineLevel="0" collapsed="false">
      <c r="A31" s="33"/>
      <c r="B31" s="33"/>
      <c r="C31" s="33"/>
      <c r="D31" s="33"/>
      <c r="E31" s="33"/>
      <c r="F31" s="34"/>
      <c r="G31" s="35"/>
      <c r="H31" s="34"/>
      <c r="I31" s="34"/>
      <c r="J31" s="34"/>
      <c r="K31" s="34"/>
      <c r="L31" s="31" t="str">
        <f aca="false">IFERROR(H31/F31*1000,"")</f>
        <v/>
      </c>
      <c r="M31" s="31" t="str">
        <f aca="false">IFERROR(I31/F31*1000,"")</f>
        <v/>
      </c>
      <c r="N31" s="32" t="str">
        <f aca="false">IF(G31="","",IF(G31&gt;=0.5,"PASS","FIX HOOK"))</f>
        <v/>
      </c>
    </row>
    <row r="32" customFormat="false" ht="15" hidden="false" customHeight="false" outlineLevel="0" collapsed="false">
      <c r="A32" s="33"/>
      <c r="B32" s="33"/>
      <c r="C32" s="33"/>
      <c r="D32" s="33"/>
      <c r="E32" s="33"/>
      <c r="F32" s="34"/>
      <c r="G32" s="35"/>
      <c r="H32" s="34"/>
      <c r="I32" s="34"/>
      <c r="J32" s="34"/>
      <c r="K32" s="34"/>
      <c r="L32" s="31" t="str">
        <f aca="false">IFERROR(H32/F32*1000,"")</f>
        <v/>
      </c>
      <c r="M32" s="31" t="str">
        <f aca="false">IFERROR(I32/F32*1000,"")</f>
        <v/>
      </c>
      <c r="N32" s="32" t="str">
        <f aca="false">IF(G32="","",IF(G32&gt;=0.5,"PASS","FIX HOOK"))</f>
        <v/>
      </c>
    </row>
    <row r="33" customFormat="false" ht="15" hidden="false" customHeight="false" outlineLevel="0" collapsed="false">
      <c r="A33" s="33"/>
      <c r="B33" s="33"/>
      <c r="C33" s="33"/>
      <c r="D33" s="33"/>
      <c r="E33" s="33"/>
      <c r="F33" s="34"/>
      <c r="G33" s="35"/>
      <c r="H33" s="34"/>
      <c r="I33" s="34"/>
      <c r="J33" s="34"/>
      <c r="K33" s="34"/>
      <c r="L33" s="31" t="str">
        <f aca="false">IFERROR(H33/F33*1000,"")</f>
        <v/>
      </c>
      <c r="M33" s="31" t="str">
        <f aca="false">IFERROR(I33/F33*1000,"")</f>
        <v/>
      </c>
      <c r="N33" s="32" t="str">
        <f aca="false">IF(G33="","",IF(G33&gt;=0.5,"PASS","FIX HOOK"))</f>
        <v/>
      </c>
    </row>
    <row r="34" customFormat="false" ht="15" hidden="false" customHeight="false" outlineLevel="0" collapsed="false">
      <c r="A34" s="33"/>
      <c r="B34" s="33"/>
      <c r="C34" s="33"/>
      <c r="D34" s="33"/>
      <c r="E34" s="33"/>
      <c r="F34" s="34"/>
      <c r="G34" s="35"/>
      <c r="H34" s="34"/>
      <c r="I34" s="34"/>
      <c r="J34" s="34"/>
      <c r="K34" s="34"/>
      <c r="L34" s="31" t="str">
        <f aca="false">IFERROR(H34/F34*1000,"")</f>
        <v/>
      </c>
      <c r="M34" s="31" t="str">
        <f aca="false">IFERROR(I34/F34*1000,"")</f>
        <v/>
      </c>
      <c r="N34" s="32" t="str">
        <f aca="false">IF(G34="","",IF(G34&gt;=0.5,"PASS","FIX HOOK"))</f>
        <v/>
      </c>
    </row>
    <row r="35" customFormat="false" ht="15" hidden="false" customHeight="false" outlineLevel="0" collapsed="false">
      <c r="A35" s="33"/>
      <c r="B35" s="33"/>
      <c r="C35" s="33"/>
      <c r="D35" s="33"/>
      <c r="E35" s="33"/>
      <c r="F35" s="34"/>
      <c r="G35" s="35"/>
      <c r="H35" s="34"/>
      <c r="I35" s="34"/>
      <c r="J35" s="34"/>
      <c r="K35" s="34"/>
      <c r="L35" s="31" t="str">
        <f aca="false">IFERROR(H35/F35*1000,"")</f>
        <v/>
      </c>
      <c r="M35" s="31" t="str">
        <f aca="false">IFERROR(I35/F35*1000,"")</f>
        <v/>
      </c>
      <c r="N35" s="32" t="str">
        <f aca="false">IF(G35="","",IF(G35&gt;=0.5,"PASS","FIX HOOK"))</f>
        <v/>
      </c>
    </row>
    <row r="36" customFormat="false" ht="15" hidden="false" customHeight="false" outlineLevel="0" collapsed="false">
      <c r="A36" s="33"/>
      <c r="B36" s="33"/>
      <c r="C36" s="33"/>
      <c r="D36" s="33"/>
      <c r="E36" s="33"/>
      <c r="F36" s="34"/>
      <c r="G36" s="35"/>
      <c r="H36" s="34"/>
      <c r="I36" s="34"/>
      <c r="J36" s="34"/>
      <c r="K36" s="34"/>
      <c r="L36" s="31" t="str">
        <f aca="false">IFERROR(H36/F36*1000,"")</f>
        <v/>
      </c>
      <c r="M36" s="31" t="str">
        <f aca="false">IFERROR(I36/F36*1000,"")</f>
        <v/>
      </c>
      <c r="N36" s="32" t="str">
        <f aca="false">IF(G36="","",IF(G36&gt;=0.5,"PASS","FIX HOOK"))</f>
        <v/>
      </c>
    </row>
    <row r="37" customFormat="false" ht="15" hidden="false" customHeight="false" outlineLevel="0" collapsed="false">
      <c r="A37" s="33"/>
      <c r="B37" s="33"/>
      <c r="C37" s="33"/>
      <c r="D37" s="33"/>
      <c r="E37" s="33"/>
      <c r="F37" s="34"/>
      <c r="G37" s="35"/>
      <c r="H37" s="34"/>
      <c r="I37" s="34"/>
      <c r="J37" s="34"/>
      <c r="K37" s="34"/>
      <c r="L37" s="31" t="str">
        <f aca="false">IFERROR(H37/F37*1000,"")</f>
        <v/>
      </c>
      <c r="M37" s="31" t="str">
        <f aca="false">IFERROR(I37/F37*1000,"")</f>
        <v/>
      </c>
      <c r="N37" s="32" t="str">
        <f aca="false">IF(G37="","",IF(G37&gt;=0.5,"PASS","FIX HOOK"))</f>
        <v/>
      </c>
    </row>
    <row r="38" customFormat="false" ht="15" hidden="false" customHeight="false" outlineLevel="0" collapsed="false">
      <c r="A38" s="33"/>
      <c r="B38" s="33"/>
      <c r="C38" s="33"/>
      <c r="D38" s="33"/>
      <c r="E38" s="33"/>
      <c r="F38" s="34"/>
      <c r="G38" s="35"/>
      <c r="H38" s="34"/>
      <c r="I38" s="34"/>
      <c r="J38" s="34"/>
      <c r="K38" s="34"/>
      <c r="L38" s="31" t="str">
        <f aca="false">IFERROR(H38/F38*1000,"")</f>
        <v/>
      </c>
      <c r="M38" s="31" t="str">
        <f aca="false">IFERROR(I38/F38*1000,"")</f>
        <v/>
      </c>
      <c r="N38" s="32" t="str">
        <f aca="false">IF(G38="","",IF(G38&gt;=0.5,"PASS","FIX HOOK"))</f>
        <v/>
      </c>
    </row>
    <row r="39" customFormat="false" ht="15" hidden="false" customHeight="false" outlineLevel="0" collapsed="false">
      <c r="A39" s="33"/>
      <c r="B39" s="33"/>
      <c r="C39" s="33"/>
      <c r="D39" s="33"/>
      <c r="E39" s="33"/>
      <c r="F39" s="34"/>
      <c r="G39" s="35"/>
      <c r="H39" s="34"/>
      <c r="I39" s="34"/>
      <c r="J39" s="34"/>
      <c r="K39" s="34"/>
      <c r="L39" s="31" t="str">
        <f aca="false">IFERROR(H39/F39*1000,"")</f>
        <v/>
      </c>
      <c r="M39" s="31" t="str">
        <f aca="false">IFERROR(I39/F39*1000,"")</f>
        <v/>
      </c>
      <c r="N39" s="32" t="str">
        <f aca="false">IF(G39="","",IF(G39&gt;=0.5,"PASS","FIX HOOK"))</f>
        <v/>
      </c>
    </row>
    <row r="40" customFormat="false" ht="15" hidden="false" customHeight="false" outlineLevel="0" collapsed="false">
      <c r="A40" s="33"/>
      <c r="B40" s="33"/>
      <c r="C40" s="33"/>
      <c r="D40" s="33"/>
      <c r="E40" s="33"/>
      <c r="F40" s="34"/>
      <c r="G40" s="35"/>
      <c r="H40" s="34"/>
      <c r="I40" s="34"/>
      <c r="J40" s="34"/>
      <c r="K40" s="34"/>
      <c r="L40" s="31" t="str">
        <f aca="false">IFERROR(H40/F40*1000,"")</f>
        <v/>
      </c>
      <c r="M40" s="31" t="str">
        <f aca="false">IFERROR(I40/F40*1000,"")</f>
        <v/>
      </c>
      <c r="N40" s="32" t="str">
        <f aca="false">IF(G40="","",IF(G40&gt;=0.5,"PASS","FIX HOOK"))</f>
        <v/>
      </c>
    </row>
    <row r="41" customFormat="false" ht="15" hidden="false" customHeight="false" outlineLevel="0" collapsed="false">
      <c r="A41" s="33"/>
      <c r="B41" s="33"/>
      <c r="C41" s="33"/>
      <c r="D41" s="33"/>
      <c r="E41" s="33"/>
      <c r="F41" s="34"/>
      <c r="G41" s="35"/>
      <c r="H41" s="34"/>
      <c r="I41" s="34"/>
      <c r="J41" s="34"/>
      <c r="K41" s="34"/>
      <c r="L41" s="31" t="str">
        <f aca="false">IFERROR(H41/F41*1000,"")</f>
        <v/>
      </c>
      <c r="M41" s="31" t="str">
        <f aca="false">IFERROR(I41/F41*1000,"")</f>
        <v/>
      </c>
      <c r="N41" s="32" t="str">
        <f aca="false">IF(G41="","",IF(G41&gt;=0.5,"PASS","FIX HOOK"))</f>
        <v/>
      </c>
    </row>
    <row r="42" customFormat="false" ht="15" hidden="false" customHeight="false" outlineLevel="0" collapsed="false">
      <c r="A42" s="33"/>
      <c r="B42" s="33"/>
      <c r="C42" s="33"/>
      <c r="D42" s="33"/>
      <c r="E42" s="33"/>
      <c r="F42" s="34"/>
      <c r="G42" s="35"/>
      <c r="H42" s="34"/>
      <c r="I42" s="34"/>
      <c r="J42" s="34"/>
      <c r="K42" s="34"/>
      <c r="L42" s="31" t="str">
        <f aca="false">IFERROR(H42/F42*1000,"")</f>
        <v/>
      </c>
      <c r="M42" s="31" t="str">
        <f aca="false">IFERROR(I42/F42*1000,"")</f>
        <v/>
      </c>
      <c r="N42" s="32" t="str">
        <f aca="false">IF(G42="","",IF(G42&gt;=0.5,"PASS","FIX HOOK"))</f>
        <v/>
      </c>
    </row>
    <row r="43" customFormat="false" ht="15" hidden="false" customHeight="false" outlineLevel="0" collapsed="false">
      <c r="A43" s="33"/>
      <c r="B43" s="33"/>
      <c r="C43" s="33"/>
      <c r="D43" s="33"/>
      <c r="E43" s="33"/>
      <c r="F43" s="34"/>
      <c r="G43" s="35"/>
      <c r="H43" s="34"/>
      <c r="I43" s="34"/>
      <c r="J43" s="34"/>
      <c r="K43" s="34"/>
      <c r="L43" s="31" t="str">
        <f aca="false">IFERROR(H43/F43*1000,"")</f>
        <v/>
      </c>
      <c r="M43" s="31" t="str">
        <f aca="false">IFERROR(I43/F43*1000,"")</f>
        <v/>
      </c>
      <c r="N43" s="32" t="str">
        <f aca="false">IF(G43="","",IF(G43&gt;=0.5,"PASS","FIX HOOK"))</f>
        <v/>
      </c>
    </row>
    <row r="44" customFormat="false" ht="15" hidden="false" customHeight="false" outlineLevel="0" collapsed="false">
      <c r="A44" s="33"/>
      <c r="B44" s="33"/>
      <c r="C44" s="33"/>
      <c r="D44" s="33"/>
      <c r="E44" s="33"/>
      <c r="F44" s="34"/>
      <c r="G44" s="35"/>
      <c r="H44" s="34"/>
      <c r="I44" s="34"/>
      <c r="J44" s="34"/>
      <c r="K44" s="34"/>
      <c r="L44" s="31" t="str">
        <f aca="false">IFERROR(H44/F44*1000,"")</f>
        <v/>
      </c>
      <c r="M44" s="31" t="str">
        <f aca="false">IFERROR(I44/F44*1000,"")</f>
        <v/>
      </c>
      <c r="N44" s="32" t="str">
        <f aca="false">IF(G44="","",IF(G44&gt;=0.5,"PASS","FIX HOOK"))</f>
        <v/>
      </c>
    </row>
    <row r="45" customFormat="false" ht="15" hidden="false" customHeight="false" outlineLevel="0" collapsed="false">
      <c r="A45" s="33"/>
      <c r="B45" s="33"/>
      <c r="C45" s="33"/>
      <c r="D45" s="33"/>
      <c r="E45" s="33"/>
      <c r="F45" s="34"/>
      <c r="G45" s="35"/>
      <c r="H45" s="34"/>
      <c r="I45" s="34"/>
      <c r="J45" s="34"/>
      <c r="K45" s="34"/>
      <c r="L45" s="31" t="str">
        <f aca="false">IFERROR(H45/F45*1000,"")</f>
        <v/>
      </c>
      <c r="M45" s="31" t="str">
        <f aca="false">IFERROR(I45/F45*1000,"")</f>
        <v/>
      </c>
      <c r="N45" s="32" t="str">
        <f aca="false">IF(G45="","",IF(G45&gt;=0.5,"PASS","FIX HOOK"))</f>
        <v/>
      </c>
    </row>
    <row r="46" customFormat="false" ht="15" hidden="false" customHeight="false" outlineLevel="0" collapsed="false">
      <c r="A46" s="33"/>
      <c r="B46" s="33"/>
      <c r="C46" s="33"/>
      <c r="D46" s="33"/>
      <c r="E46" s="33"/>
      <c r="F46" s="34"/>
      <c r="G46" s="35"/>
      <c r="H46" s="34"/>
      <c r="I46" s="34"/>
      <c r="J46" s="34"/>
      <c r="K46" s="34"/>
      <c r="L46" s="31" t="str">
        <f aca="false">IFERROR(H46/F46*1000,"")</f>
        <v/>
      </c>
      <c r="M46" s="31" t="str">
        <f aca="false">IFERROR(I46/F46*1000,"")</f>
        <v/>
      </c>
      <c r="N46" s="32" t="str">
        <f aca="false">IF(G46="","",IF(G46&gt;=0.5,"PASS","FIX HOOK"))</f>
        <v/>
      </c>
    </row>
    <row r="47" customFormat="false" ht="15" hidden="false" customHeight="false" outlineLevel="0" collapsed="false">
      <c r="A47" s="33"/>
      <c r="B47" s="33"/>
      <c r="C47" s="33"/>
      <c r="D47" s="33"/>
      <c r="E47" s="33"/>
      <c r="F47" s="34"/>
      <c r="G47" s="35"/>
      <c r="H47" s="34"/>
      <c r="I47" s="34"/>
      <c r="J47" s="34"/>
      <c r="K47" s="34"/>
      <c r="L47" s="31" t="str">
        <f aca="false">IFERROR(H47/F47*1000,"")</f>
        <v/>
      </c>
      <c r="M47" s="31" t="str">
        <f aca="false">IFERROR(I47/F47*1000,"")</f>
        <v/>
      </c>
      <c r="N47" s="32" t="str">
        <f aca="false">IF(G47="","",IF(G47&gt;=0.5,"PASS","FIX HOOK"))</f>
        <v/>
      </c>
    </row>
    <row r="48" customFormat="false" ht="15" hidden="false" customHeight="false" outlineLevel="0" collapsed="false">
      <c r="A48" s="33"/>
      <c r="B48" s="33"/>
      <c r="C48" s="33"/>
      <c r="D48" s="33"/>
      <c r="E48" s="33"/>
      <c r="F48" s="34"/>
      <c r="G48" s="35"/>
      <c r="H48" s="34"/>
      <c r="I48" s="34"/>
      <c r="J48" s="34"/>
      <c r="K48" s="34"/>
      <c r="L48" s="31" t="str">
        <f aca="false">IFERROR(H48/F48*1000,"")</f>
        <v/>
      </c>
      <c r="M48" s="31" t="str">
        <f aca="false">IFERROR(I48/F48*1000,"")</f>
        <v/>
      </c>
      <c r="N48" s="32" t="str">
        <f aca="false">IF(G48="","",IF(G48&gt;=0.5,"PASS","FIX HOOK"))</f>
        <v/>
      </c>
    </row>
    <row r="49" customFormat="false" ht="15" hidden="false" customHeight="false" outlineLevel="0" collapsed="false">
      <c r="A49" s="33"/>
      <c r="B49" s="33"/>
      <c r="C49" s="33"/>
      <c r="D49" s="33"/>
      <c r="E49" s="33"/>
      <c r="F49" s="34"/>
      <c r="G49" s="35"/>
      <c r="H49" s="34"/>
      <c r="I49" s="34"/>
      <c r="J49" s="34"/>
      <c r="K49" s="34"/>
      <c r="L49" s="31" t="str">
        <f aca="false">IFERROR(H49/F49*1000,"")</f>
        <v/>
      </c>
      <c r="M49" s="31" t="str">
        <f aca="false">IFERROR(I49/F49*1000,"")</f>
        <v/>
      </c>
      <c r="N49" s="32" t="str">
        <f aca="false">IF(G49="","",IF(G49&gt;=0.5,"PASS","FIX HOOK"))</f>
        <v/>
      </c>
    </row>
    <row r="50" customFormat="false" ht="15" hidden="false" customHeight="false" outlineLevel="0" collapsed="false">
      <c r="A50" s="33"/>
      <c r="B50" s="33"/>
      <c r="C50" s="33"/>
      <c r="D50" s="33"/>
      <c r="E50" s="33"/>
      <c r="F50" s="34"/>
      <c r="G50" s="35"/>
      <c r="H50" s="34"/>
      <c r="I50" s="34"/>
      <c r="J50" s="34"/>
      <c r="K50" s="34"/>
      <c r="L50" s="31" t="str">
        <f aca="false">IFERROR(H50/F50*1000,"")</f>
        <v/>
      </c>
      <c r="M50" s="31" t="str">
        <f aca="false">IFERROR(I50/F50*1000,"")</f>
        <v/>
      </c>
      <c r="N50" s="32" t="str">
        <f aca="false">IF(G50="","",IF(G50&gt;=0.5,"PASS","FIX HOOK"))</f>
        <v/>
      </c>
    </row>
    <row r="51" customFormat="false" ht="15" hidden="false" customHeight="false" outlineLevel="0" collapsed="false">
      <c r="A51" s="33"/>
      <c r="B51" s="33"/>
      <c r="C51" s="33"/>
      <c r="D51" s="33"/>
      <c r="E51" s="33"/>
      <c r="F51" s="34"/>
      <c r="G51" s="35"/>
      <c r="H51" s="34"/>
      <c r="I51" s="34"/>
      <c r="J51" s="34"/>
      <c r="K51" s="34"/>
      <c r="L51" s="31" t="str">
        <f aca="false">IFERROR(H51/F51*1000,"")</f>
        <v/>
      </c>
      <c r="M51" s="31" t="str">
        <f aca="false">IFERROR(I51/F51*1000,"")</f>
        <v/>
      </c>
      <c r="N51" s="32" t="str">
        <f aca="false">IF(G51="","",IF(G51&gt;=0.5,"PASS","FIX HOOK"))</f>
        <v/>
      </c>
    </row>
    <row r="52" customFormat="false" ht="15" hidden="false" customHeight="false" outlineLevel="0" collapsed="false">
      <c r="A52" s="33"/>
      <c r="B52" s="33"/>
      <c r="C52" s="33"/>
      <c r="D52" s="33"/>
      <c r="E52" s="33"/>
      <c r="F52" s="34"/>
      <c r="G52" s="35"/>
      <c r="H52" s="34"/>
      <c r="I52" s="34"/>
      <c r="J52" s="34"/>
      <c r="K52" s="34"/>
      <c r="L52" s="31" t="str">
        <f aca="false">IFERROR(H52/F52*1000,"")</f>
        <v/>
      </c>
      <c r="M52" s="31" t="str">
        <f aca="false">IFERROR(I52/F52*1000,"")</f>
        <v/>
      </c>
      <c r="N52" s="32" t="str">
        <f aca="false">IF(G52="","",IF(G52&gt;=0.5,"PASS","FIX HOOK"))</f>
        <v/>
      </c>
    </row>
    <row r="53" customFormat="false" ht="15" hidden="false" customHeight="false" outlineLevel="0" collapsed="false">
      <c r="A53" s="33"/>
      <c r="B53" s="33"/>
      <c r="C53" s="33"/>
      <c r="D53" s="33"/>
      <c r="E53" s="33"/>
      <c r="F53" s="34"/>
      <c r="G53" s="35"/>
      <c r="H53" s="34"/>
      <c r="I53" s="34"/>
      <c r="J53" s="34"/>
      <c r="K53" s="34"/>
      <c r="L53" s="31" t="str">
        <f aca="false">IFERROR(H53/F53*1000,"")</f>
        <v/>
      </c>
      <c r="M53" s="31" t="str">
        <f aca="false">IFERROR(I53/F53*1000,"")</f>
        <v/>
      </c>
      <c r="N53" s="32" t="str">
        <f aca="false">IF(G53="","",IF(G53&gt;=0.5,"PASS","FIX HOOK"))</f>
        <v/>
      </c>
    </row>
    <row r="54" customFormat="false" ht="15" hidden="false" customHeight="false" outlineLevel="0" collapsed="false">
      <c r="A54" s="33"/>
      <c r="B54" s="33"/>
      <c r="C54" s="33"/>
      <c r="D54" s="33"/>
      <c r="E54" s="33"/>
      <c r="F54" s="34"/>
      <c r="G54" s="35"/>
      <c r="H54" s="34"/>
      <c r="I54" s="34"/>
      <c r="J54" s="34"/>
      <c r="K54" s="34"/>
      <c r="L54" s="31" t="str">
        <f aca="false">IFERROR(H54/F54*1000,"")</f>
        <v/>
      </c>
      <c r="M54" s="31" t="str">
        <f aca="false">IFERROR(I54/F54*1000,"")</f>
        <v/>
      </c>
      <c r="N54" s="32" t="str">
        <f aca="false">IF(G54="","",IF(G54&gt;=0.5,"PASS","FIX HOOK"))</f>
        <v/>
      </c>
    </row>
    <row r="55" customFormat="false" ht="15" hidden="false" customHeight="false" outlineLevel="0" collapsed="false">
      <c r="A55" s="33"/>
      <c r="B55" s="33"/>
      <c r="C55" s="33"/>
      <c r="D55" s="33"/>
      <c r="E55" s="33"/>
      <c r="F55" s="34"/>
      <c r="G55" s="35"/>
      <c r="H55" s="34"/>
      <c r="I55" s="34"/>
      <c r="J55" s="34"/>
      <c r="K55" s="34"/>
      <c r="L55" s="31" t="str">
        <f aca="false">IFERROR(H55/F55*1000,"")</f>
        <v/>
      </c>
      <c r="M55" s="31" t="str">
        <f aca="false">IFERROR(I55/F55*1000,"")</f>
        <v/>
      </c>
      <c r="N55" s="32" t="str">
        <f aca="false">IF(G55="","",IF(G55&gt;=0.5,"PASS","FIX HOOK"))</f>
        <v/>
      </c>
    </row>
    <row r="56" customFormat="false" ht="15" hidden="false" customHeight="false" outlineLevel="0" collapsed="false">
      <c r="A56" s="33"/>
      <c r="B56" s="33"/>
      <c r="C56" s="33"/>
      <c r="D56" s="33"/>
      <c r="E56" s="33"/>
      <c r="F56" s="34"/>
      <c r="G56" s="35"/>
      <c r="H56" s="34"/>
      <c r="I56" s="34"/>
      <c r="J56" s="34"/>
      <c r="K56" s="34"/>
      <c r="L56" s="31" t="str">
        <f aca="false">IFERROR(H56/F56*1000,"")</f>
        <v/>
      </c>
      <c r="M56" s="31" t="str">
        <f aca="false">IFERROR(I56/F56*1000,"")</f>
        <v/>
      </c>
      <c r="N56" s="32" t="str">
        <f aca="false">IF(G56="","",IF(G56&gt;=0.5,"PASS","FIX HOOK"))</f>
        <v/>
      </c>
    </row>
    <row r="57" customFormat="false" ht="15" hidden="false" customHeight="false" outlineLevel="0" collapsed="false">
      <c r="A57" s="33"/>
      <c r="B57" s="33"/>
      <c r="C57" s="33"/>
      <c r="D57" s="33"/>
      <c r="E57" s="33"/>
      <c r="F57" s="34"/>
      <c r="G57" s="35"/>
      <c r="H57" s="34"/>
      <c r="I57" s="34"/>
      <c r="J57" s="34"/>
      <c r="K57" s="34"/>
      <c r="L57" s="31" t="str">
        <f aca="false">IFERROR(H57/F57*1000,"")</f>
        <v/>
      </c>
      <c r="M57" s="31" t="str">
        <f aca="false">IFERROR(I57/F57*1000,"")</f>
        <v/>
      </c>
      <c r="N57" s="32" t="str">
        <f aca="false">IF(G57="","",IF(G57&gt;=0.5,"PASS","FIX HOOK"))</f>
        <v/>
      </c>
    </row>
    <row r="58" customFormat="false" ht="15" hidden="false" customHeight="false" outlineLevel="0" collapsed="false">
      <c r="A58" s="33"/>
      <c r="B58" s="33"/>
      <c r="C58" s="33"/>
      <c r="D58" s="33"/>
      <c r="E58" s="33"/>
      <c r="F58" s="34"/>
      <c r="G58" s="35"/>
      <c r="H58" s="34"/>
      <c r="I58" s="34"/>
      <c r="J58" s="34"/>
      <c r="K58" s="34"/>
      <c r="L58" s="31" t="str">
        <f aca="false">IFERROR(H58/F58*1000,"")</f>
        <v/>
      </c>
      <c r="M58" s="31" t="str">
        <f aca="false">IFERROR(I58/F58*1000,"")</f>
        <v/>
      </c>
      <c r="N58" s="32" t="str">
        <f aca="false">IF(G58="","",IF(G58&gt;=0.5,"PASS","FIX HOOK"))</f>
        <v/>
      </c>
    </row>
    <row r="59" customFormat="false" ht="15" hidden="false" customHeight="false" outlineLevel="0" collapsed="false">
      <c r="A59" s="33"/>
      <c r="B59" s="33"/>
      <c r="C59" s="33"/>
      <c r="D59" s="33"/>
      <c r="E59" s="33"/>
      <c r="F59" s="34"/>
      <c r="G59" s="35"/>
      <c r="H59" s="34"/>
      <c r="I59" s="34"/>
      <c r="J59" s="34"/>
      <c r="K59" s="34"/>
      <c r="L59" s="31" t="str">
        <f aca="false">IFERROR(H59/F59*1000,"")</f>
        <v/>
      </c>
      <c r="M59" s="31" t="str">
        <f aca="false">IFERROR(I59/F59*1000,"")</f>
        <v/>
      </c>
      <c r="N59" s="32" t="str">
        <f aca="false">IF(G59="","",IF(G59&gt;=0.5,"PASS","FIX HOOK"))</f>
        <v/>
      </c>
    </row>
    <row r="60" customFormat="false" ht="15" hidden="false" customHeight="false" outlineLevel="0" collapsed="false">
      <c r="A60" s="33"/>
      <c r="B60" s="33"/>
      <c r="C60" s="33"/>
      <c r="D60" s="33"/>
      <c r="E60" s="33"/>
      <c r="F60" s="34"/>
      <c r="G60" s="35"/>
      <c r="H60" s="34"/>
      <c r="I60" s="34"/>
      <c r="J60" s="34"/>
      <c r="K60" s="34"/>
      <c r="L60" s="31" t="str">
        <f aca="false">IFERROR(H60/F60*1000,"")</f>
        <v/>
      </c>
      <c r="M60" s="31" t="str">
        <f aca="false">IFERROR(I60/F60*1000,"")</f>
        <v/>
      </c>
      <c r="N60" s="32" t="str">
        <f aca="false">IF(G60="","",IF(G60&gt;=0.5,"PASS","FIX HOOK"))</f>
        <v/>
      </c>
    </row>
    <row r="61" customFormat="false" ht="15" hidden="false" customHeight="false" outlineLevel="0" collapsed="false">
      <c r="A61" s="33"/>
      <c r="B61" s="33"/>
      <c r="C61" s="33"/>
      <c r="D61" s="33"/>
      <c r="E61" s="33"/>
      <c r="F61" s="34"/>
      <c r="G61" s="35"/>
      <c r="H61" s="34"/>
      <c r="I61" s="34"/>
      <c r="J61" s="34"/>
      <c r="K61" s="34"/>
      <c r="L61" s="31" t="str">
        <f aca="false">IFERROR(H61/F61*1000,"")</f>
        <v/>
      </c>
      <c r="M61" s="31" t="str">
        <f aca="false">IFERROR(I61/F61*1000,"")</f>
        <v/>
      </c>
      <c r="N61" s="32" t="str">
        <f aca="false">IF(G61="","",IF(G61&gt;=0.5,"PASS","FIX HOOK"))</f>
        <v/>
      </c>
    </row>
    <row r="62" customFormat="false" ht="15" hidden="false" customHeight="false" outlineLevel="0" collapsed="false">
      <c r="A62" s="33"/>
      <c r="B62" s="33"/>
      <c r="C62" s="33"/>
      <c r="D62" s="33"/>
      <c r="E62" s="33"/>
      <c r="F62" s="34"/>
      <c r="G62" s="35"/>
      <c r="H62" s="34"/>
      <c r="I62" s="34"/>
      <c r="J62" s="34"/>
      <c r="K62" s="34"/>
      <c r="L62" s="31" t="str">
        <f aca="false">IFERROR(H62/F62*1000,"")</f>
        <v/>
      </c>
      <c r="M62" s="31" t="str">
        <f aca="false">IFERROR(I62/F62*1000,"")</f>
        <v/>
      </c>
      <c r="N62" s="32" t="str">
        <f aca="false">IF(G62="","",IF(G62&gt;=0.5,"PASS","FIX HOOK"))</f>
        <v/>
      </c>
    </row>
    <row r="63" customFormat="false" ht="15" hidden="false" customHeight="false" outlineLevel="0" collapsed="false">
      <c r="A63" s="33"/>
      <c r="B63" s="33"/>
      <c r="C63" s="33"/>
      <c r="D63" s="33"/>
      <c r="E63" s="33"/>
      <c r="F63" s="34"/>
      <c r="G63" s="35"/>
      <c r="H63" s="34"/>
      <c r="I63" s="34"/>
      <c r="J63" s="34"/>
      <c r="K63" s="34"/>
      <c r="L63" s="31" t="str">
        <f aca="false">IFERROR(H63/F63*1000,"")</f>
        <v/>
      </c>
      <c r="M63" s="31" t="str">
        <f aca="false">IFERROR(I63/F63*1000,"")</f>
        <v/>
      </c>
      <c r="N63" s="32" t="str">
        <f aca="false">IF(G63="","",IF(G63&gt;=0.5,"PASS","FIX HOOK"))</f>
        <v/>
      </c>
    </row>
    <row r="64" customFormat="false" ht="15" hidden="false" customHeight="false" outlineLevel="0" collapsed="false">
      <c r="A64" s="33"/>
      <c r="B64" s="33"/>
      <c r="C64" s="33"/>
      <c r="D64" s="33"/>
      <c r="E64" s="33"/>
      <c r="F64" s="34"/>
      <c r="G64" s="35"/>
      <c r="H64" s="34"/>
      <c r="I64" s="34"/>
      <c r="J64" s="34"/>
      <c r="K64" s="34"/>
      <c r="L64" s="31" t="str">
        <f aca="false">IFERROR(H64/F64*1000,"")</f>
        <v/>
      </c>
      <c r="M64" s="31" t="str">
        <f aca="false">IFERROR(I64/F64*1000,"")</f>
        <v/>
      </c>
      <c r="N64" s="32" t="str">
        <f aca="false">IF(G64="","",IF(G64&gt;=0.5,"PASS","FIX HOOK"))</f>
        <v/>
      </c>
    </row>
    <row r="65" customFormat="false" ht="15" hidden="false" customHeight="false" outlineLevel="0" collapsed="false">
      <c r="A65" s="33"/>
      <c r="B65" s="33"/>
      <c r="C65" s="33"/>
      <c r="D65" s="33"/>
      <c r="E65" s="33"/>
      <c r="F65" s="34"/>
      <c r="G65" s="35"/>
      <c r="H65" s="34"/>
      <c r="I65" s="34"/>
      <c r="J65" s="34"/>
      <c r="K65" s="34"/>
      <c r="L65" s="31" t="str">
        <f aca="false">IFERROR(H65/F65*1000,"")</f>
        <v/>
      </c>
      <c r="M65" s="31" t="str">
        <f aca="false">IFERROR(I65/F65*1000,"")</f>
        <v/>
      </c>
      <c r="N65" s="32" t="str">
        <f aca="false">IF(G65="","",IF(G65&gt;=0.5,"PASS","FIX HOOK"))</f>
        <v/>
      </c>
    </row>
    <row r="66" customFormat="false" ht="15" hidden="false" customHeight="false" outlineLevel="0" collapsed="false">
      <c r="A66" s="33"/>
      <c r="B66" s="33"/>
      <c r="C66" s="33"/>
      <c r="D66" s="33"/>
      <c r="E66" s="33"/>
      <c r="F66" s="34"/>
      <c r="G66" s="35"/>
      <c r="H66" s="34"/>
      <c r="I66" s="34"/>
      <c r="J66" s="34"/>
      <c r="K66" s="34"/>
      <c r="L66" s="31" t="str">
        <f aca="false">IFERROR(H66/F66*1000,"")</f>
        <v/>
      </c>
      <c r="M66" s="31" t="str">
        <f aca="false">IFERROR(I66/F66*1000,"")</f>
        <v/>
      </c>
      <c r="N66" s="32" t="str">
        <f aca="false">IF(G66="","",IF(G66&gt;=0.5,"PASS","FIX HOOK"))</f>
        <v/>
      </c>
    </row>
    <row r="67" customFormat="false" ht="15" hidden="false" customHeight="false" outlineLevel="0" collapsed="false">
      <c r="A67" s="33"/>
      <c r="B67" s="33"/>
      <c r="C67" s="33"/>
      <c r="D67" s="33"/>
      <c r="E67" s="33"/>
      <c r="F67" s="34"/>
      <c r="G67" s="35"/>
      <c r="H67" s="34"/>
      <c r="I67" s="34"/>
      <c r="J67" s="34"/>
      <c r="K67" s="34"/>
      <c r="L67" s="31" t="str">
        <f aca="false">IFERROR(H67/F67*1000,"")</f>
        <v/>
      </c>
      <c r="M67" s="31" t="str">
        <f aca="false">IFERROR(I67/F67*1000,"")</f>
        <v/>
      </c>
      <c r="N67" s="32" t="str">
        <f aca="false">IF(G67="","",IF(G67&gt;=0.5,"PASS","FIX HOOK"))</f>
        <v/>
      </c>
    </row>
    <row r="68" customFormat="false" ht="15" hidden="false" customHeight="false" outlineLevel="0" collapsed="false">
      <c r="A68" s="33"/>
      <c r="B68" s="33"/>
      <c r="C68" s="33"/>
      <c r="D68" s="33"/>
      <c r="E68" s="33"/>
      <c r="F68" s="34"/>
      <c r="G68" s="35"/>
      <c r="H68" s="34"/>
      <c r="I68" s="34"/>
      <c r="J68" s="34"/>
      <c r="K68" s="34"/>
      <c r="L68" s="31" t="str">
        <f aca="false">IFERROR(H68/F68*1000,"")</f>
        <v/>
      </c>
      <c r="M68" s="31" t="str">
        <f aca="false">IFERROR(I68/F68*1000,"")</f>
        <v/>
      </c>
      <c r="N68" s="32" t="str">
        <f aca="false">IF(G68="","",IF(G68&gt;=0.5,"PASS","FIX HOOK"))</f>
        <v/>
      </c>
    </row>
    <row r="69" customFormat="false" ht="15" hidden="false" customHeight="false" outlineLevel="0" collapsed="false">
      <c r="A69" s="33"/>
      <c r="B69" s="33"/>
      <c r="C69" s="33"/>
      <c r="D69" s="33"/>
      <c r="E69" s="33"/>
      <c r="F69" s="34"/>
      <c r="G69" s="35"/>
      <c r="H69" s="34"/>
      <c r="I69" s="34"/>
      <c r="J69" s="34"/>
      <c r="K69" s="34"/>
      <c r="L69" s="31" t="str">
        <f aca="false">IFERROR(H69/F69*1000,"")</f>
        <v/>
      </c>
      <c r="M69" s="31" t="str">
        <f aca="false">IFERROR(I69/F69*1000,"")</f>
        <v/>
      </c>
      <c r="N69" s="32" t="str">
        <f aca="false">IF(G69="","",IF(G69&gt;=0.5,"PASS","FIX HOOK"))</f>
        <v/>
      </c>
    </row>
    <row r="70" customFormat="false" ht="15" hidden="false" customHeight="false" outlineLevel="0" collapsed="false">
      <c r="A70" s="33"/>
      <c r="B70" s="33"/>
      <c r="C70" s="33"/>
      <c r="D70" s="33"/>
      <c r="E70" s="33"/>
      <c r="F70" s="34"/>
      <c r="G70" s="35"/>
      <c r="H70" s="34"/>
      <c r="I70" s="34"/>
      <c r="J70" s="34"/>
      <c r="K70" s="34"/>
      <c r="L70" s="31" t="str">
        <f aca="false">IFERROR(H70/F70*1000,"")</f>
        <v/>
      </c>
      <c r="M70" s="31" t="str">
        <f aca="false">IFERROR(I70/F70*1000,"")</f>
        <v/>
      </c>
      <c r="N70" s="32" t="str">
        <f aca="false">IF(G70="","",IF(G70&gt;=0.5,"PASS","FIX HOOK"))</f>
        <v/>
      </c>
    </row>
    <row r="71" customFormat="false" ht="15" hidden="false" customHeight="false" outlineLevel="0" collapsed="false">
      <c r="A71" s="33"/>
      <c r="B71" s="33"/>
      <c r="C71" s="33"/>
      <c r="D71" s="33"/>
      <c r="E71" s="33"/>
      <c r="F71" s="34"/>
      <c r="G71" s="35"/>
      <c r="H71" s="34"/>
      <c r="I71" s="34"/>
      <c r="J71" s="34"/>
      <c r="K71" s="34"/>
      <c r="L71" s="31" t="str">
        <f aca="false">IFERROR(H71/F71*1000,"")</f>
        <v/>
      </c>
      <c r="M71" s="31" t="str">
        <f aca="false">IFERROR(I71/F71*1000,"")</f>
        <v/>
      </c>
      <c r="N71" s="32" t="str">
        <f aca="false">IF(G71="","",IF(G71&gt;=0.5,"PASS","FIX HOOK"))</f>
        <v/>
      </c>
    </row>
    <row r="72" customFormat="false" ht="15" hidden="false" customHeight="false" outlineLevel="0" collapsed="false">
      <c r="A72" s="33"/>
      <c r="B72" s="33"/>
      <c r="C72" s="33"/>
      <c r="D72" s="33"/>
      <c r="E72" s="33"/>
      <c r="F72" s="34"/>
      <c r="G72" s="35"/>
      <c r="H72" s="34"/>
      <c r="I72" s="34"/>
      <c r="J72" s="34"/>
      <c r="K72" s="34"/>
      <c r="L72" s="31" t="str">
        <f aca="false">IFERROR(H72/F72*1000,"")</f>
        <v/>
      </c>
      <c r="M72" s="31" t="str">
        <f aca="false">IFERROR(I72/F72*1000,"")</f>
        <v/>
      </c>
      <c r="N72" s="32" t="str">
        <f aca="false">IF(G72="","",IF(G72&gt;=0.5,"PASS","FIX HOOK"))</f>
        <v/>
      </c>
    </row>
    <row r="73" customFormat="false" ht="15" hidden="false" customHeight="false" outlineLevel="0" collapsed="false">
      <c r="A73" s="33"/>
      <c r="B73" s="33"/>
      <c r="C73" s="33"/>
      <c r="D73" s="33"/>
      <c r="E73" s="33"/>
      <c r="F73" s="34"/>
      <c r="G73" s="35"/>
      <c r="H73" s="34"/>
      <c r="I73" s="34"/>
      <c r="J73" s="34"/>
      <c r="K73" s="34"/>
      <c r="L73" s="31" t="str">
        <f aca="false">IFERROR(H73/F73*1000,"")</f>
        <v/>
      </c>
      <c r="M73" s="31" t="str">
        <f aca="false">IFERROR(I73/F73*1000,"")</f>
        <v/>
      </c>
      <c r="N73" s="32" t="str">
        <f aca="false">IF(G73="","",IF(G73&gt;=0.5,"PASS","FIX HOOK"))</f>
        <v/>
      </c>
    </row>
    <row r="74" customFormat="false" ht="15" hidden="false" customHeight="false" outlineLevel="0" collapsed="false">
      <c r="A74" s="33"/>
      <c r="B74" s="33"/>
      <c r="C74" s="33"/>
      <c r="D74" s="33"/>
      <c r="E74" s="33"/>
      <c r="F74" s="34"/>
      <c r="G74" s="35"/>
      <c r="H74" s="34"/>
      <c r="I74" s="34"/>
      <c r="J74" s="34"/>
      <c r="K74" s="34"/>
      <c r="L74" s="31" t="str">
        <f aca="false">IFERROR(H74/F74*1000,"")</f>
        <v/>
      </c>
      <c r="M74" s="31" t="str">
        <f aca="false">IFERROR(I74/F74*1000,"")</f>
        <v/>
      </c>
      <c r="N74" s="32" t="str">
        <f aca="false">IF(G74="","",IF(G74&gt;=0.5,"PASS","FIX HOOK"))</f>
        <v/>
      </c>
    </row>
    <row r="75" customFormat="false" ht="15" hidden="false" customHeight="false" outlineLevel="0" collapsed="false">
      <c r="A75" s="33"/>
      <c r="B75" s="33"/>
      <c r="C75" s="33"/>
      <c r="D75" s="33"/>
      <c r="E75" s="33"/>
      <c r="F75" s="34"/>
      <c r="G75" s="35"/>
      <c r="H75" s="34"/>
      <c r="I75" s="34"/>
      <c r="J75" s="34"/>
      <c r="K75" s="34"/>
      <c r="L75" s="31" t="str">
        <f aca="false">IFERROR(H75/F75*1000,"")</f>
        <v/>
      </c>
      <c r="M75" s="31" t="str">
        <f aca="false">IFERROR(I75/F75*1000,"")</f>
        <v/>
      </c>
      <c r="N75" s="32" t="str">
        <f aca="false">IF(G75="","",IF(G75&gt;=0.5,"PASS","FIX HOOK"))</f>
        <v/>
      </c>
    </row>
    <row r="76" customFormat="false" ht="15" hidden="false" customHeight="false" outlineLevel="0" collapsed="false">
      <c r="A76" s="33"/>
      <c r="B76" s="33"/>
      <c r="C76" s="33"/>
      <c r="D76" s="33"/>
      <c r="E76" s="33"/>
      <c r="F76" s="34"/>
      <c r="G76" s="35"/>
      <c r="H76" s="34"/>
      <c r="I76" s="34"/>
      <c r="J76" s="34"/>
      <c r="K76" s="34"/>
      <c r="L76" s="31" t="str">
        <f aca="false">IFERROR(H76/F76*1000,"")</f>
        <v/>
      </c>
      <c r="M76" s="31" t="str">
        <f aca="false">IFERROR(I76/F76*1000,"")</f>
        <v/>
      </c>
      <c r="N76" s="32" t="str">
        <f aca="false">IF(G76="","",IF(G76&gt;=0.5,"PASS","FIX HOOK"))</f>
        <v/>
      </c>
    </row>
    <row r="77" customFormat="false" ht="15" hidden="false" customHeight="false" outlineLevel="0" collapsed="false">
      <c r="A77" s="33"/>
      <c r="B77" s="33"/>
      <c r="C77" s="33"/>
      <c r="D77" s="33"/>
      <c r="E77" s="33"/>
      <c r="F77" s="34"/>
      <c r="G77" s="35"/>
      <c r="H77" s="34"/>
      <c r="I77" s="34"/>
      <c r="J77" s="34"/>
      <c r="K77" s="34"/>
      <c r="L77" s="31" t="str">
        <f aca="false">IFERROR(H77/F77*1000,"")</f>
        <v/>
      </c>
      <c r="M77" s="31" t="str">
        <f aca="false">IFERROR(I77/F77*1000,"")</f>
        <v/>
      </c>
      <c r="N77" s="32" t="str">
        <f aca="false">IF(G77="","",IF(G77&gt;=0.5,"PASS","FIX HOOK"))</f>
        <v/>
      </c>
    </row>
    <row r="78" customFormat="false" ht="15" hidden="false" customHeight="false" outlineLevel="0" collapsed="false">
      <c r="A78" s="33"/>
      <c r="B78" s="33"/>
      <c r="C78" s="33"/>
      <c r="D78" s="33"/>
      <c r="E78" s="33"/>
      <c r="F78" s="34"/>
      <c r="G78" s="35"/>
      <c r="H78" s="34"/>
      <c r="I78" s="34"/>
      <c r="J78" s="34"/>
      <c r="K78" s="34"/>
      <c r="L78" s="31" t="str">
        <f aca="false">IFERROR(H78/F78*1000,"")</f>
        <v/>
      </c>
      <c r="M78" s="31" t="str">
        <f aca="false">IFERROR(I78/F78*1000,"")</f>
        <v/>
      </c>
      <c r="N78" s="32" t="str">
        <f aca="false">IF(G78="","",IF(G78&gt;=0.5,"PASS","FIX HOOK"))</f>
        <v/>
      </c>
    </row>
    <row r="79" customFormat="false" ht="15" hidden="false" customHeight="false" outlineLevel="0" collapsed="false">
      <c r="A79" s="33"/>
      <c r="B79" s="33"/>
      <c r="C79" s="33"/>
      <c r="D79" s="33"/>
      <c r="E79" s="33"/>
      <c r="F79" s="34"/>
      <c r="G79" s="35"/>
      <c r="H79" s="34"/>
      <c r="I79" s="34"/>
      <c r="J79" s="34"/>
      <c r="K79" s="34"/>
      <c r="L79" s="31" t="str">
        <f aca="false">IFERROR(H79/F79*1000,"")</f>
        <v/>
      </c>
      <c r="M79" s="31" t="str">
        <f aca="false">IFERROR(I79/F79*1000,"")</f>
        <v/>
      </c>
      <c r="N79" s="32" t="str">
        <f aca="false">IF(G79="","",IF(G79&gt;=0.5,"PASS","FIX HOOK"))</f>
        <v/>
      </c>
    </row>
    <row r="80" customFormat="false" ht="15" hidden="false" customHeight="false" outlineLevel="0" collapsed="false">
      <c r="A80" s="33"/>
      <c r="B80" s="33"/>
      <c r="C80" s="33"/>
      <c r="D80" s="33"/>
      <c r="E80" s="33"/>
      <c r="F80" s="34"/>
      <c r="G80" s="35"/>
      <c r="H80" s="34"/>
      <c r="I80" s="34"/>
      <c r="J80" s="34"/>
      <c r="K80" s="34"/>
      <c r="L80" s="31" t="str">
        <f aca="false">IFERROR(H80/F80*1000,"")</f>
        <v/>
      </c>
      <c r="M80" s="31" t="str">
        <f aca="false">IFERROR(I80/F80*1000,"")</f>
        <v/>
      </c>
      <c r="N80" s="32" t="str">
        <f aca="false">IF(G80="","",IF(G80&gt;=0.5,"PASS","FIX HOOK"))</f>
        <v/>
      </c>
    </row>
    <row r="81" customFormat="false" ht="15" hidden="false" customHeight="false" outlineLevel="0" collapsed="false">
      <c r="A81" s="33"/>
      <c r="B81" s="33"/>
      <c r="C81" s="33"/>
      <c r="D81" s="33"/>
      <c r="E81" s="33"/>
      <c r="F81" s="34"/>
      <c r="G81" s="35"/>
      <c r="H81" s="34"/>
      <c r="I81" s="34"/>
      <c r="J81" s="34"/>
      <c r="K81" s="34"/>
      <c r="L81" s="31" t="str">
        <f aca="false">IFERROR(H81/F81*1000,"")</f>
        <v/>
      </c>
      <c r="M81" s="31" t="str">
        <f aca="false">IFERROR(I81/F81*1000,"")</f>
        <v/>
      </c>
      <c r="N81" s="32" t="str">
        <f aca="false">IF(G81="","",IF(G81&gt;=0.5,"PASS","FIX HOOK"))</f>
        <v/>
      </c>
    </row>
    <row r="82" customFormat="false" ht="15" hidden="false" customHeight="false" outlineLevel="0" collapsed="false">
      <c r="A82" s="33"/>
      <c r="B82" s="33"/>
      <c r="C82" s="33"/>
      <c r="D82" s="33"/>
      <c r="E82" s="33"/>
      <c r="F82" s="34"/>
      <c r="G82" s="35"/>
      <c r="H82" s="34"/>
      <c r="I82" s="34"/>
      <c r="J82" s="34"/>
      <c r="K82" s="34"/>
      <c r="L82" s="31" t="str">
        <f aca="false">IFERROR(H82/F82*1000,"")</f>
        <v/>
      </c>
      <c r="M82" s="31" t="str">
        <f aca="false">IFERROR(I82/F82*1000,"")</f>
        <v/>
      </c>
      <c r="N82" s="32" t="str">
        <f aca="false">IF(G82="","",IF(G82&gt;=0.5,"PASS","FIX HOOK"))</f>
        <v/>
      </c>
    </row>
    <row r="83" customFormat="false" ht="15" hidden="false" customHeight="false" outlineLevel="0" collapsed="false">
      <c r="A83" s="33"/>
      <c r="B83" s="33"/>
      <c r="C83" s="33"/>
      <c r="D83" s="33"/>
      <c r="E83" s="33"/>
      <c r="F83" s="34"/>
      <c r="G83" s="35"/>
      <c r="H83" s="34"/>
      <c r="I83" s="34"/>
      <c r="J83" s="34"/>
      <c r="K83" s="34"/>
      <c r="L83" s="31" t="str">
        <f aca="false">IFERROR(H83/F83*1000,"")</f>
        <v/>
      </c>
      <c r="M83" s="31" t="str">
        <f aca="false">IFERROR(I83/F83*1000,"")</f>
        <v/>
      </c>
      <c r="N83" s="32" t="str">
        <f aca="false">IF(G83="","",IF(G83&gt;=0.5,"PASS","FIX HOOK"))</f>
        <v/>
      </c>
    </row>
    <row r="84" customFormat="false" ht="15" hidden="false" customHeight="false" outlineLevel="0" collapsed="false">
      <c r="A84" s="33"/>
      <c r="B84" s="33"/>
      <c r="C84" s="33"/>
      <c r="D84" s="33"/>
      <c r="E84" s="33"/>
      <c r="F84" s="34"/>
      <c r="G84" s="35"/>
      <c r="H84" s="34"/>
      <c r="I84" s="34"/>
      <c r="J84" s="34"/>
      <c r="K84" s="34"/>
      <c r="L84" s="31" t="str">
        <f aca="false">IFERROR(H84/F84*1000,"")</f>
        <v/>
      </c>
      <c r="M84" s="31" t="str">
        <f aca="false">IFERROR(I84/F84*1000,"")</f>
        <v/>
      </c>
      <c r="N84" s="32" t="str">
        <f aca="false">IF(G84="","",IF(G84&gt;=0.5,"PASS","FIX HOOK"))</f>
        <v/>
      </c>
    </row>
    <row r="85" customFormat="false" ht="15" hidden="false" customHeight="false" outlineLevel="0" collapsed="false">
      <c r="A85" s="33"/>
      <c r="B85" s="33"/>
      <c r="C85" s="33"/>
      <c r="D85" s="33"/>
      <c r="E85" s="33"/>
      <c r="F85" s="34"/>
      <c r="G85" s="35"/>
      <c r="H85" s="34"/>
      <c r="I85" s="34"/>
      <c r="J85" s="34"/>
      <c r="K85" s="34"/>
      <c r="L85" s="31" t="str">
        <f aca="false">IFERROR(H85/F85*1000,"")</f>
        <v/>
      </c>
      <c r="M85" s="31" t="str">
        <f aca="false">IFERROR(I85/F85*1000,"")</f>
        <v/>
      </c>
      <c r="N85" s="32" t="str">
        <f aca="false">IF(G85="","",IF(G85&gt;=0.5,"PASS","FIX HOOK"))</f>
        <v/>
      </c>
    </row>
    <row r="86" customFormat="false" ht="15" hidden="false" customHeight="false" outlineLevel="0" collapsed="false">
      <c r="A86" s="33"/>
      <c r="B86" s="33"/>
      <c r="C86" s="33"/>
      <c r="D86" s="33"/>
      <c r="E86" s="33"/>
      <c r="F86" s="34"/>
      <c r="G86" s="35"/>
      <c r="H86" s="34"/>
      <c r="I86" s="34"/>
      <c r="J86" s="34"/>
      <c r="K86" s="34"/>
      <c r="L86" s="31" t="str">
        <f aca="false">IFERROR(H86/F86*1000,"")</f>
        <v/>
      </c>
      <c r="M86" s="31" t="str">
        <f aca="false">IFERROR(I86/F86*1000,"")</f>
        <v/>
      </c>
      <c r="N86" s="32" t="str">
        <f aca="false">IF(G86="","",IF(G86&gt;=0.5,"PASS","FIX HOOK"))</f>
        <v/>
      </c>
    </row>
    <row r="87" customFormat="false" ht="15" hidden="false" customHeight="false" outlineLevel="0" collapsed="false">
      <c r="A87" s="33"/>
      <c r="B87" s="33"/>
      <c r="C87" s="33"/>
      <c r="D87" s="33"/>
      <c r="E87" s="33"/>
      <c r="F87" s="34"/>
      <c r="G87" s="35"/>
      <c r="H87" s="34"/>
      <c r="I87" s="34"/>
      <c r="J87" s="34"/>
      <c r="K87" s="34"/>
      <c r="L87" s="31" t="str">
        <f aca="false">IFERROR(H87/F87*1000,"")</f>
        <v/>
      </c>
      <c r="M87" s="31" t="str">
        <f aca="false">IFERROR(I87/F87*1000,"")</f>
        <v/>
      </c>
      <c r="N87" s="32" t="str">
        <f aca="false">IF(G87="","",IF(G87&gt;=0.5,"PASS","FIX HOOK"))</f>
        <v/>
      </c>
    </row>
    <row r="88" customFormat="false" ht="15" hidden="false" customHeight="false" outlineLevel="0" collapsed="false">
      <c r="A88" s="33"/>
      <c r="B88" s="33"/>
      <c r="C88" s="33"/>
      <c r="D88" s="33"/>
      <c r="E88" s="33"/>
      <c r="F88" s="34"/>
      <c r="G88" s="35"/>
      <c r="H88" s="34"/>
      <c r="I88" s="34"/>
      <c r="J88" s="34"/>
      <c r="K88" s="34"/>
      <c r="L88" s="31" t="str">
        <f aca="false">IFERROR(H88/F88*1000,"")</f>
        <v/>
      </c>
      <c r="M88" s="31" t="str">
        <f aca="false">IFERROR(I88/F88*1000,"")</f>
        <v/>
      </c>
      <c r="N88" s="32" t="str">
        <f aca="false">IF(G88="","",IF(G88&gt;=0.5,"PASS","FIX HOOK"))</f>
        <v/>
      </c>
    </row>
    <row r="89" customFormat="false" ht="15" hidden="false" customHeight="false" outlineLevel="0" collapsed="false">
      <c r="A89" s="33"/>
      <c r="B89" s="33"/>
      <c r="C89" s="33"/>
      <c r="D89" s="33"/>
      <c r="E89" s="33"/>
      <c r="F89" s="34"/>
      <c r="G89" s="35"/>
      <c r="H89" s="34"/>
      <c r="I89" s="34"/>
      <c r="J89" s="34"/>
      <c r="K89" s="34"/>
      <c r="L89" s="31" t="str">
        <f aca="false">IFERROR(H89/F89*1000,"")</f>
        <v/>
      </c>
      <c r="M89" s="31" t="str">
        <f aca="false">IFERROR(I89/F89*1000,"")</f>
        <v/>
      </c>
      <c r="N89" s="32" t="str">
        <f aca="false">IF(G89="","",IF(G89&gt;=0.5,"PASS","FIX HOOK"))</f>
        <v/>
      </c>
    </row>
    <row r="90" customFormat="false" ht="15" hidden="false" customHeight="false" outlineLevel="0" collapsed="false">
      <c r="A90" s="33"/>
      <c r="B90" s="33"/>
      <c r="C90" s="33"/>
      <c r="D90" s="33"/>
      <c r="E90" s="33"/>
      <c r="F90" s="34"/>
      <c r="G90" s="35"/>
      <c r="H90" s="34"/>
      <c r="I90" s="34"/>
      <c r="J90" s="34"/>
      <c r="K90" s="34"/>
      <c r="L90" s="31" t="str">
        <f aca="false">IFERROR(H90/F90*1000,"")</f>
        <v/>
      </c>
      <c r="M90" s="31" t="str">
        <f aca="false">IFERROR(I90/F90*1000,"")</f>
        <v/>
      </c>
      <c r="N90" s="32" t="str">
        <f aca="false">IF(G90="","",IF(G90&gt;=0.5,"PASS","FIX HOOK"))</f>
        <v/>
      </c>
    </row>
    <row r="91" customFormat="false" ht="15" hidden="false" customHeight="false" outlineLevel="0" collapsed="false">
      <c r="A91" s="33"/>
      <c r="B91" s="33"/>
      <c r="C91" s="33"/>
      <c r="D91" s="33"/>
      <c r="E91" s="33"/>
      <c r="F91" s="34"/>
      <c r="G91" s="35"/>
      <c r="H91" s="34"/>
      <c r="I91" s="34"/>
      <c r="J91" s="34"/>
      <c r="K91" s="34"/>
      <c r="L91" s="31" t="str">
        <f aca="false">IFERROR(H91/F91*1000,"")</f>
        <v/>
      </c>
      <c r="M91" s="31" t="str">
        <f aca="false">IFERROR(I91/F91*1000,"")</f>
        <v/>
      </c>
      <c r="N91" s="32" t="str">
        <f aca="false">IF(G91="","",IF(G91&gt;=0.5,"PASS","FIX HOOK"))</f>
        <v/>
      </c>
    </row>
    <row r="92" customFormat="false" ht="15" hidden="false" customHeight="false" outlineLevel="0" collapsed="false">
      <c r="A92" s="33"/>
      <c r="B92" s="33"/>
      <c r="C92" s="33"/>
      <c r="D92" s="33"/>
      <c r="E92" s="33"/>
      <c r="F92" s="34"/>
      <c r="G92" s="35"/>
      <c r="H92" s="34"/>
      <c r="I92" s="34"/>
      <c r="J92" s="34"/>
      <c r="K92" s="34"/>
      <c r="L92" s="31" t="str">
        <f aca="false">IFERROR(H92/F92*1000,"")</f>
        <v/>
      </c>
      <c r="M92" s="31" t="str">
        <f aca="false">IFERROR(I92/F92*1000,"")</f>
        <v/>
      </c>
      <c r="N92" s="32" t="str">
        <f aca="false">IF(G92="","",IF(G92&gt;=0.5,"PASS","FIX HOOK"))</f>
        <v/>
      </c>
    </row>
    <row r="93" customFormat="false" ht="15" hidden="false" customHeight="false" outlineLevel="0" collapsed="false">
      <c r="A93" s="33"/>
      <c r="B93" s="33"/>
      <c r="C93" s="33"/>
      <c r="D93" s="33"/>
      <c r="E93" s="33"/>
      <c r="F93" s="34"/>
      <c r="G93" s="35"/>
      <c r="H93" s="34"/>
      <c r="I93" s="34"/>
      <c r="J93" s="34"/>
      <c r="K93" s="34"/>
      <c r="L93" s="31" t="str">
        <f aca="false">IFERROR(H93/F93*1000,"")</f>
        <v/>
      </c>
      <c r="M93" s="31" t="str">
        <f aca="false">IFERROR(I93/F93*1000,"")</f>
        <v/>
      </c>
      <c r="N93" s="32" t="str">
        <f aca="false">IF(G93="","",IF(G93&gt;=0.5,"PASS","FIX HOOK"))</f>
        <v/>
      </c>
    </row>
    <row r="94" customFormat="false" ht="15" hidden="false" customHeight="false" outlineLevel="0" collapsed="false">
      <c r="A94" s="33"/>
      <c r="B94" s="33"/>
      <c r="C94" s="33"/>
      <c r="D94" s="33"/>
      <c r="E94" s="33"/>
      <c r="F94" s="34"/>
      <c r="G94" s="35"/>
      <c r="H94" s="34"/>
      <c r="I94" s="34"/>
      <c r="J94" s="34"/>
      <c r="K94" s="34"/>
      <c r="L94" s="31" t="str">
        <f aca="false">IFERROR(H94/F94*1000,"")</f>
        <v/>
      </c>
      <c r="M94" s="31" t="str">
        <f aca="false">IFERROR(I94/F94*1000,"")</f>
        <v/>
      </c>
      <c r="N94" s="32" t="str">
        <f aca="false">IF(G94="","",IF(G94&gt;=0.5,"PASS","FIX HOOK"))</f>
        <v/>
      </c>
    </row>
    <row r="95" customFormat="false" ht="15" hidden="false" customHeight="false" outlineLevel="0" collapsed="false">
      <c r="A95" s="33"/>
      <c r="B95" s="33"/>
      <c r="C95" s="33"/>
      <c r="D95" s="33"/>
      <c r="E95" s="33"/>
      <c r="F95" s="34"/>
      <c r="G95" s="35"/>
      <c r="H95" s="34"/>
      <c r="I95" s="34"/>
      <c r="J95" s="34"/>
      <c r="K95" s="34"/>
      <c r="L95" s="31" t="str">
        <f aca="false">IFERROR(H95/F95*1000,"")</f>
        <v/>
      </c>
      <c r="M95" s="31" t="str">
        <f aca="false">IFERROR(I95/F95*1000,"")</f>
        <v/>
      </c>
      <c r="N95" s="32" t="str">
        <f aca="false">IF(G95="","",IF(G95&gt;=0.5,"PASS","FIX HOOK"))</f>
        <v/>
      </c>
    </row>
    <row r="96" customFormat="false" ht="15" hidden="false" customHeight="false" outlineLevel="0" collapsed="false">
      <c r="A96" s="33"/>
      <c r="B96" s="33"/>
      <c r="C96" s="33"/>
      <c r="D96" s="33"/>
      <c r="E96" s="33"/>
      <c r="F96" s="34"/>
      <c r="G96" s="35"/>
      <c r="H96" s="34"/>
      <c r="I96" s="34"/>
      <c r="J96" s="34"/>
      <c r="K96" s="34"/>
      <c r="L96" s="31" t="str">
        <f aca="false">IFERROR(H96/F96*1000,"")</f>
        <v/>
      </c>
      <c r="M96" s="31" t="str">
        <f aca="false">IFERROR(I96/F96*1000,"")</f>
        <v/>
      </c>
      <c r="N96" s="32" t="str">
        <f aca="false">IF(G96="","",IF(G96&gt;=0.5,"PASS","FIX HOOK"))</f>
        <v/>
      </c>
    </row>
    <row r="97" customFormat="false" ht="15" hidden="false" customHeight="false" outlineLevel="0" collapsed="false">
      <c r="A97" s="33"/>
      <c r="B97" s="33"/>
      <c r="C97" s="33"/>
      <c r="D97" s="33"/>
      <c r="E97" s="33"/>
      <c r="F97" s="34"/>
      <c r="G97" s="35"/>
      <c r="H97" s="34"/>
      <c r="I97" s="34"/>
      <c r="J97" s="34"/>
      <c r="K97" s="34"/>
      <c r="L97" s="31" t="str">
        <f aca="false">IFERROR(H97/F97*1000,"")</f>
        <v/>
      </c>
      <c r="M97" s="31" t="str">
        <f aca="false">IFERROR(I97/F97*1000,"")</f>
        <v/>
      </c>
      <c r="N97" s="32" t="str">
        <f aca="false">IF(G97="","",IF(G97&gt;=0.5,"PASS","FIX HOOK"))</f>
        <v/>
      </c>
    </row>
    <row r="98" customFormat="false" ht="15" hidden="false" customHeight="false" outlineLevel="0" collapsed="false">
      <c r="A98" s="33"/>
      <c r="B98" s="33"/>
      <c r="C98" s="33"/>
      <c r="D98" s="33"/>
      <c r="E98" s="33"/>
      <c r="F98" s="34"/>
      <c r="G98" s="35"/>
      <c r="H98" s="34"/>
      <c r="I98" s="34"/>
      <c r="J98" s="34"/>
      <c r="K98" s="34"/>
      <c r="L98" s="31" t="str">
        <f aca="false">IFERROR(H98/F98*1000,"")</f>
        <v/>
      </c>
      <c r="M98" s="31" t="str">
        <f aca="false">IFERROR(I98/F98*1000,"")</f>
        <v/>
      </c>
      <c r="N98" s="32" t="str">
        <f aca="false">IF(G98="","",IF(G98&gt;=0.5,"PASS","FIX HOOK"))</f>
        <v/>
      </c>
    </row>
    <row r="99" customFormat="false" ht="15" hidden="false" customHeight="false" outlineLevel="0" collapsed="false">
      <c r="A99" s="33"/>
      <c r="B99" s="33"/>
      <c r="C99" s="33"/>
      <c r="D99" s="33"/>
      <c r="E99" s="33"/>
      <c r="F99" s="34"/>
      <c r="G99" s="35"/>
      <c r="H99" s="34"/>
      <c r="I99" s="34"/>
      <c r="J99" s="34"/>
      <c r="K99" s="34"/>
      <c r="L99" s="31" t="str">
        <f aca="false">IFERROR(H99/F99*1000,"")</f>
        <v/>
      </c>
      <c r="M99" s="31" t="str">
        <f aca="false">IFERROR(I99/F99*1000,"")</f>
        <v/>
      </c>
      <c r="N99" s="32" t="str">
        <f aca="false">IF(G99="","",IF(G99&gt;=0.5,"PASS","FIX HOOK"))</f>
        <v/>
      </c>
    </row>
    <row r="100" customFormat="false" ht="15" hidden="false" customHeight="false" outlineLevel="0" collapsed="false">
      <c r="A100" s="33"/>
      <c r="B100" s="33"/>
      <c r="C100" s="33"/>
      <c r="D100" s="33"/>
      <c r="E100" s="33"/>
      <c r="F100" s="34"/>
      <c r="G100" s="35"/>
      <c r="H100" s="34"/>
      <c r="I100" s="34"/>
      <c r="J100" s="34"/>
      <c r="K100" s="34"/>
      <c r="L100" s="31" t="str">
        <f aca="false">IFERROR(H100/F100*1000,"")</f>
        <v/>
      </c>
      <c r="M100" s="31" t="str">
        <f aca="false">IFERROR(I100/F100*1000,"")</f>
        <v/>
      </c>
      <c r="N100" s="32" t="str">
        <f aca="false">IF(G100="","",IF(G100&gt;=0.5,"PASS","FIX HOOK"))</f>
        <v/>
      </c>
    </row>
    <row r="101" customFormat="false" ht="15" hidden="false" customHeight="false" outlineLevel="0" collapsed="false">
      <c r="A101" s="33"/>
      <c r="B101" s="33"/>
      <c r="C101" s="33"/>
      <c r="D101" s="33"/>
      <c r="E101" s="33"/>
      <c r="F101" s="34"/>
      <c r="G101" s="35"/>
      <c r="H101" s="34"/>
      <c r="I101" s="34"/>
      <c r="J101" s="34"/>
      <c r="K101" s="34"/>
      <c r="L101" s="31" t="str">
        <f aca="false">IFERROR(H101/F101*1000,"")</f>
        <v/>
      </c>
      <c r="M101" s="31" t="str">
        <f aca="false">IFERROR(I101/F101*1000,"")</f>
        <v/>
      </c>
      <c r="N101" s="32" t="str">
        <f aca="false">IF(G101="","",IF(G101&gt;=0.5,"PASS","FIX HOOK"))</f>
        <v/>
      </c>
    </row>
    <row r="102" customFormat="false" ht="15" hidden="false" customHeight="false" outlineLevel="0" collapsed="false">
      <c r="A102" s="33"/>
      <c r="B102" s="33"/>
      <c r="C102" s="33"/>
      <c r="D102" s="33"/>
      <c r="E102" s="33"/>
      <c r="F102" s="34"/>
      <c r="G102" s="35"/>
      <c r="H102" s="34"/>
      <c r="I102" s="34"/>
      <c r="J102" s="34"/>
      <c r="K102" s="34"/>
      <c r="L102" s="31" t="str">
        <f aca="false">IFERROR(H102/F102*1000,"")</f>
        <v/>
      </c>
      <c r="M102" s="31" t="str">
        <f aca="false">IFERROR(I102/F102*1000,"")</f>
        <v/>
      </c>
      <c r="N102" s="32" t="str">
        <f aca="false">IF(G102="","",IF(G102&gt;=0.5,"PASS","FIX HOOK"))</f>
        <v/>
      </c>
    </row>
    <row r="103" customFormat="false" ht="15" hidden="false" customHeight="false" outlineLevel="0" collapsed="false">
      <c r="A103" s="33"/>
      <c r="B103" s="33"/>
      <c r="C103" s="33"/>
      <c r="D103" s="33"/>
      <c r="E103" s="33"/>
      <c r="F103" s="34"/>
      <c r="G103" s="35"/>
      <c r="H103" s="34"/>
      <c r="I103" s="34"/>
      <c r="J103" s="34"/>
      <c r="K103" s="34"/>
      <c r="L103" s="31" t="str">
        <f aca="false">IFERROR(H103/F103*1000,"")</f>
        <v/>
      </c>
      <c r="M103" s="31" t="str">
        <f aca="false">IFERROR(I103/F103*1000,"")</f>
        <v/>
      </c>
      <c r="N103" s="32" t="str">
        <f aca="false">IF(G103="","",IF(G103&gt;=0.5,"PASS","FIX HOOK"))</f>
        <v/>
      </c>
    </row>
    <row r="104" customFormat="false" ht="15" hidden="false" customHeight="false" outlineLevel="0" collapsed="false">
      <c r="A104" s="33"/>
      <c r="B104" s="33"/>
      <c r="C104" s="33"/>
      <c r="D104" s="33"/>
      <c r="E104" s="33"/>
      <c r="F104" s="34"/>
      <c r="G104" s="35"/>
      <c r="H104" s="34"/>
      <c r="I104" s="34"/>
      <c r="J104" s="34"/>
      <c r="K104" s="34"/>
      <c r="L104" s="31" t="str">
        <f aca="false">IFERROR(H104/F104*1000,"")</f>
        <v/>
      </c>
      <c r="M104" s="31" t="str">
        <f aca="false">IFERROR(I104/F104*1000,"")</f>
        <v/>
      </c>
      <c r="N104" s="32" t="str">
        <f aca="false">IF(G104="","",IF(G104&gt;=0.5,"PASS","FIX HOOK"))</f>
        <v/>
      </c>
    </row>
    <row r="105" customFormat="false" ht="15" hidden="false" customHeight="false" outlineLevel="0" collapsed="false">
      <c r="A105" s="33"/>
      <c r="B105" s="33"/>
      <c r="C105" s="33"/>
      <c r="D105" s="33"/>
      <c r="E105" s="33"/>
      <c r="F105" s="34"/>
      <c r="G105" s="35"/>
      <c r="H105" s="34"/>
      <c r="I105" s="34"/>
      <c r="J105" s="34"/>
      <c r="K105" s="34"/>
      <c r="L105" s="31" t="str">
        <f aca="false">IFERROR(H105/F105*1000,"")</f>
        <v/>
      </c>
      <c r="M105" s="31" t="str">
        <f aca="false">IFERROR(I105/F105*1000,"")</f>
        <v/>
      </c>
      <c r="N105" s="32" t="str">
        <f aca="false">IF(G105="","",IF(G105&gt;=0.5,"PASS","FIX HOOK"))</f>
        <v/>
      </c>
    </row>
    <row r="106" customFormat="false" ht="15" hidden="false" customHeight="false" outlineLevel="0" collapsed="false">
      <c r="A106" s="33"/>
      <c r="B106" s="33"/>
      <c r="C106" s="33"/>
      <c r="D106" s="33"/>
      <c r="E106" s="33"/>
      <c r="F106" s="34"/>
      <c r="G106" s="35"/>
      <c r="H106" s="34"/>
      <c r="I106" s="34"/>
      <c r="J106" s="34"/>
      <c r="K106" s="34"/>
      <c r="L106" s="31" t="str">
        <f aca="false">IFERROR(H106/F106*1000,"")</f>
        <v/>
      </c>
      <c r="M106" s="31" t="str">
        <f aca="false">IFERROR(I106/F106*1000,"")</f>
        <v/>
      </c>
      <c r="N106" s="32" t="str">
        <f aca="false">IF(G106="","",IF(G106&gt;=0.5,"PASS","FIX HOOK"))</f>
        <v/>
      </c>
    </row>
    <row r="107" customFormat="false" ht="15" hidden="false" customHeight="false" outlineLevel="0" collapsed="false">
      <c r="A107" s="33"/>
      <c r="B107" s="33"/>
      <c r="C107" s="33"/>
      <c r="D107" s="33"/>
      <c r="E107" s="33"/>
      <c r="F107" s="34"/>
      <c r="G107" s="35"/>
      <c r="H107" s="34"/>
      <c r="I107" s="34"/>
      <c r="J107" s="34"/>
      <c r="K107" s="34"/>
      <c r="L107" s="31" t="str">
        <f aca="false">IFERROR(H107/F107*1000,"")</f>
        <v/>
      </c>
      <c r="M107" s="31" t="str">
        <f aca="false">IFERROR(I107/F107*1000,"")</f>
        <v/>
      </c>
      <c r="N107" s="32" t="str">
        <f aca="false">IF(G107="","",IF(G107&gt;=0.5,"PASS","FIX HOOK"))</f>
        <v/>
      </c>
    </row>
    <row r="108" customFormat="false" ht="15" hidden="false" customHeight="false" outlineLevel="0" collapsed="false">
      <c r="A108" s="33"/>
      <c r="B108" s="33"/>
      <c r="C108" s="33"/>
      <c r="D108" s="33"/>
      <c r="E108" s="33"/>
      <c r="F108" s="34"/>
      <c r="G108" s="35"/>
      <c r="H108" s="34"/>
      <c r="I108" s="34"/>
      <c r="J108" s="34"/>
      <c r="K108" s="34"/>
      <c r="L108" s="31" t="str">
        <f aca="false">IFERROR(H108/F108*1000,"")</f>
        <v/>
      </c>
      <c r="M108" s="31" t="str">
        <f aca="false">IFERROR(I108/F108*1000,"")</f>
        <v/>
      </c>
      <c r="N108" s="32" t="str">
        <f aca="false">IF(G108="","",IF(G108&gt;=0.5,"PASS","FIX HOOK"))</f>
        <v/>
      </c>
    </row>
    <row r="109" customFormat="false" ht="15" hidden="false" customHeight="false" outlineLevel="0" collapsed="false">
      <c r="A109" s="33"/>
      <c r="B109" s="33"/>
      <c r="C109" s="33"/>
      <c r="D109" s="33"/>
      <c r="E109" s="33"/>
      <c r="F109" s="34"/>
      <c r="G109" s="35"/>
      <c r="H109" s="34"/>
      <c r="I109" s="34"/>
      <c r="J109" s="34"/>
      <c r="K109" s="34"/>
      <c r="L109" s="31" t="str">
        <f aca="false">IFERROR(H109/F109*1000,"")</f>
        <v/>
      </c>
      <c r="M109" s="31" t="str">
        <f aca="false">IFERROR(I109/F109*1000,"")</f>
        <v/>
      </c>
      <c r="N109" s="32" t="str">
        <f aca="false">IF(G109="","",IF(G109&gt;=0.5,"PASS","FIX HOOK"))</f>
        <v/>
      </c>
    </row>
    <row r="110" customFormat="false" ht="15" hidden="false" customHeight="false" outlineLevel="0" collapsed="false">
      <c r="A110" s="33"/>
      <c r="B110" s="33"/>
      <c r="C110" s="33"/>
      <c r="D110" s="33"/>
      <c r="E110" s="33"/>
      <c r="F110" s="34"/>
      <c r="G110" s="35"/>
      <c r="H110" s="34"/>
      <c r="I110" s="34"/>
      <c r="J110" s="34"/>
      <c r="K110" s="34"/>
      <c r="L110" s="31" t="str">
        <f aca="false">IFERROR(H110/F110*1000,"")</f>
        <v/>
      </c>
      <c r="M110" s="31" t="str">
        <f aca="false">IFERROR(I110/F110*1000,"")</f>
        <v/>
      </c>
      <c r="N110" s="32" t="str">
        <f aca="false">IF(G110="","",IF(G110&gt;=0.5,"PASS","FIX HOOK"))</f>
        <v/>
      </c>
    </row>
    <row r="111" customFormat="false" ht="15" hidden="false" customHeight="false" outlineLevel="0" collapsed="false">
      <c r="A111" s="33"/>
      <c r="B111" s="33"/>
      <c r="C111" s="33"/>
      <c r="D111" s="33"/>
      <c r="E111" s="33"/>
      <c r="F111" s="34"/>
      <c r="G111" s="35"/>
      <c r="H111" s="34"/>
      <c r="I111" s="34"/>
      <c r="J111" s="34"/>
      <c r="K111" s="34"/>
      <c r="L111" s="31" t="str">
        <f aca="false">IFERROR(H111/F111*1000,"")</f>
        <v/>
      </c>
      <c r="M111" s="31" t="str">
        <f aca="false">IFERROR(I111/F111*1000,"")</f>
        <v/>
      </c>
      <c r="N111" s="32" t="str">
        <f aca="false">IF(G111="","",IF(G111&gt;=0.5,"PASS","FIX HOOK"))</f>
        <v/>
      </c>
    </row>
    <row r="112" customFormat="false" ht="15" hidden="false" customHeight="false" outlineLevel="0" collapsed="false">
      <c r="A112" s="33"/>
      <c r="B112" s="33"/>
      <c r="C112" s="33"/>
      <c r="D112" s="33"/>
      <c r="E112" s="33"/>
      <c r="F112" s="34"/>
      <c r="G112" s="35"/>
      <c r="H112" s="34"/>
      <c r="I112" s="34"/>
      <c r="J112" s="34"/>
      <c r="K112" s="34"/>
      <c r="L112" s="31" t="str">
        <f aca="false">IFERROR(H112/F112*1000,"")</f>
        <v/>
      </c>
      <c r="M112" s="31" t="str">
        <f aca="false">IFERROR(I112/F112*1000,"")</f>
        <v/>
      </c>
      <c r="N112" s="32" t="str">
        <f aca="false">IF(G112="","",IF(G112&gt;=0.5,"PASS","FIX HOOK"))</f>
        <v/>
      </c>
    </row>
    <row r="113" customFormat="false" ht="15" hidden="false" customHeight="false" outlineLevel="0" collapsed="false">
      <c r="A113" s="33"/>
      <c r="B113" s="33"/>
      <c r="C113" s="33"/>
      <c r="D113" s="33"/>
      <c r="E113" s="33"/>
      <c r="F113" s="34"/>
      <c r="G113" s="35"/>
      <c r="H113" s="34"/>
      <c r="I113" s="34"/>
      <c r="J113" s="34"/>
      <c r="K113" s="34"/>
      <c r="L113" s="31" t="str">
        <f aca="false">IFERROR(H113/F113*1000,"")</f>
        <v/>
      </c>
      <c r="M113" s="31" t="str">
        <f aca="false">IFERROR(I113/F113*1000,"")</f>
        <v/>
      </c>
      <c r="N113" s="32" t="str">
        <f aca="false">IF(G113="","",IF(G113&gt;=0.5,"PASS","FIX HOOK"))</f>
        <v/>
      </c>
    </row>
    <row r="114" customFormat="false" ht="15" hidden="false" customHeight="false" outlineLevel="0" collapsed="false">
      <c r="A114" s="33"/>
      <c r="B114" s="33"/>
      <c r="C114" s="33"/>
      <c r="D114" s="33"/>
      <c r="E114" s="33"/>
      <c r="F114" s="34"/>
      <c r="G114" s="35"/>
      <c r="H114" s="34"/>
      <c r="I114" s="34"/>
      <c r="J114" s="34"/>
      <c r="K114" s="34"/>
      <c r="L114" s="31" t="str">
        <f aca="false">IFERROR(H114/F114*1000,"")</f>
        <v/>
      </c>
      <c r="M114" s="31" t="str">
        <f aca="false">IFERROR(I114/F114*1000,"")</f>
        <v/>
      </c>
      <c r="N114" s="32" t="str">
        <f aca="false">IF(G114="","",IF(G114&gt;=0.5,"PASS","FIX HOOK"))</f>
        <v/>
      </c>
    </row>
    <row r="115" customFormat="false" ht="15" hidden="false" customHeight="false" outlineLevel="0" collapsed="false">
      <c r="A115" s="33"/>
      <c r="B115" s="33"/>
      <c r="C115" s="33"/>
      <c r="D115" s="33"/>
      <c r="E115" s="33"/>
      <c r="F115" s="34"/>
      <c r="G115" s="35"/>
      <c r="H115" s="34"/>
      <c r="I115" s="34"/>
      <c r="J115" s="34"/>
      <c r="K115" s="34"/>
      <c r="L115" s="31" t="str">
        <f aca="false">IFERROR(H115/F115*1000,"")</f>
        <v/>
      </c>
      <c r="M115" s="31" t="str">
        <f aca="false">IFERROR(I115/F115*1000,"")</f>
        <v/>
      </c>
      <c r="N115" s="32" t="str">
        <f aca="false">IF(G115="","",IF(G115&gt;=0.5,"PASS","FIX HOOK"))</f>
        <v/>
      </c>
    </row>
    <row r="116" customFormat="false" ht="15" hidden="false" customHeight="false" outlineLevel="0" collapsed="false">
      <c r="A116" s="33"/>
      <c r="B116" s="33"/>
      <c r="C116" s="33"/>
      <c r="D116" s="33"/>
      <c r="E116" s="33"/>
      <c r="F116" s="34"/>
      <c r="G116" s="35"/>
      <c r="H116" s="34"/>
      <c r="I116" s="34"/>
      <c r="J116" s="34"/>
      <c r="K116" s="34"/>
      <c r="L116" s="31" t="str">
        <f aca="false">IFERROR(H116/F116*1000,"")</f>
        <v/>
      </c>
      <c r="M116" s="31" t="str">
        <f aca="false">IFERROR(I116/F116*1000,"")</f>
        <v/>
      </c>
      <c r="N116" s="32" t="str">
        <f aca="false">IF(G116="","",IF(G116&gt;=0.5,"PASS","FIX HOOK"))</f>
        <v/>
      </c>
    </row>
    <row r="117" customFormat="false" ht="15" hidden="false" customHeight="false" outlineLevel="0" collapsed="false">
      <c r="A117" s="33"/>
      <c r="B117" s="33"/>
      <c r="C117" s="33"/>
      <c r="D117" s="33"/>
      <c r="E117" s="33"/>
      <c r="F117" s="34"/>
      <c r="G117" s="35"/>
      <c r="H117" s="34"/>
      <c r="I117" s="34"/>
      <c r="J117" s="34"/>
      <c r="K117" s="34"/>
      <c r="L117" s="31" t="str">
        <f aca="false">IFERROR(H117/F117*1000,"")</f>
        <v/>
      </c>
      <c r="M117" s="31" t="str">
        <f aca="false">IFERROR(I117/F117*1000,"")</f>
        <v/>
      </c>
      <c r="N117" s="32" t="str">
        <f aca="false">IF(G117="","",IF(G117&gt;=0.5,"PASS","FIX HOOK"))</f>
        <v/>
      </c>
    </row>
    <row r="118" customFormat="false" ht="15" hidden="false" customHeight="false" outlineLevel="0" collapsed="false">
      <c r="A118" s="33"/>
      <c r="B118" s="33"/>
      <c r="C118" s="33"/>
      <c r="D118" s="33"/>
      <c r="E118" s="33"/>
      <c r="F118" s="34"/>
      <c r="G118" s="35"/>
      <c r="H118" s="34"/>
      <c r="I118" s="34"/>
      <c r="J118" s="34"/>
      <c r="K118" s="34"/>
      <c r="L118" s="31" t="str">
        <f aca="false">IFERROR(H118/F118*1000,"")</f>
        <v/>
      </c>
      <c r="M118" s="31" t="str">
        <f aca="false">IFERROR(I118/F118*1000,"")</f>
        <v/>
      </c>
      <c r="N118" s="32" t="str">
        <f aca="false">IF(G118="","",IF(G118&gt;=0.5,"PASS","FIX HOOK"))</f>
        <v/>
      </c>
    </row>
    <row r="119" customFormat="false" ht="15" hidden="false" customHeight="false" outlineLevel="0" collapsed="false">
      <c r="A119" s="33"/>
      <c r="B119" s="33"/>
      <c r="C119" s="33"/>
      <c r="D119" s="33"/>
      <c r="E119" s="33"/>
      <c r="F119" s="34"/>
      <c r="G119" s="35"/>
      <c r="H119" s="34"/>
      <c r="I119" s="34"/>
      <c r="J119" s="34"/>
      <c r="K119" s="34"/>
      <c r="L119" s="31" t="str">
        <f aca="false">IFERROR(H119/F119*1000,"")</f>
        <v/>
      </c>
      <c r="M119" s="31" t="str">
        <f aca="false">IFERROR(I119/F119*1000,"")</f>
        <v/>
      </c>
      <c r="N119" s="32" t="str">
        <f aca="false">IF(G119="","",IF(G119&gt;=0.5,"PASS","FIX HOOK"))</f>
        <v/>
      </c>
    </row>
    <row r="120" customFormat="false" ht="15" hidden="false" customHeight="false" outlineLevel="0" collapsed="false">
      <c r="A120" s="33"/>
      <c r="B120" s="33"/>
      <c r="C120" s="33"/>
      <c r="D120" s="33"/>
      <c r="E120" s="33"/>
      <c r="F120" s="34"/>
      <c r="G120" s="35"/>
      <c r="H120" s="34"/>
      <c r="I120" s="34"/>
      <c r="J120" s="34"/>
      <c r="K120" s="34"/>
      <c r="L120" s="31" t="str">
        <f aca="false">IFERROR(H120/F120*1000,"")</f>
        <v/>
      </c>
      <c r="M120" s="31" t="str">
        <f aca="false">IFERROR(I120/F120*1000,"")</f>
        <v/>
      </c>
      <c r="N120" s="32" t="str">
        <f aca="false">IF(G120="","",IF(G120&gt;=0.5,"PASS","FIX HOOK"))</f>
        <v/>
      </c>
    </row>
    <row r="121" customFormat="false" ht="15" hidden="false" customHeight="false" outlineLevel="0" collapsed="false">
      <c r="A121" s="33"/>
      <c r="B121" s="33"/>
      <c r="C121" s="33"/>
      <c r="D121" s="33"/>
      <c r="E121" s="33"/>
      <c r="F121" s="34"/>
      <c r="G121" s="35"/>
      <c r="H121" s="34"/>
      <c r="I121" s="34"/>
      <c r="J121" s="34"/>
      <c r="K121" s="34"/>
      <c r="L121" s="31" t="str">
        <f aca="false">IFERROR(H121/F121*1000,"")</f>
        <v/>
      </c>
      <c r="M121" s="31" t="str">
        <f aca="false">IFERROR(I121/F121*1000,"")</f>
        <v/>
      </c>
      <c r="N121" s="32" t="str">
        <f aca="false">IF(G121="","",IF(G121&gt;=0.5,"PASS","FIX HOOK"))</f>
        <v/>
      </c>
    </row>
    <row r="122" customFormat="false" ht="15" hidden="false" customHeight="false" outlineLevel="0" collapsed="false">
      <c r="A122" s="33"/>
      <c r="B122" s="33"/>
      <c r="C122" s="33"/>
      <c r="D122" s="33"/>
      <c r="E122" s="33"/>
      <c r="F122" s="34"/>
      <c r="G122" s="35"/>
      <c r="H122" s="34"/>
      <c r="I122" s="34"/>
      <c r="J122" s="34"/>
      <c r="K122" s="34"/>
      <c r="L122" s="31" t="str">
        <f aca="false">IFERROR(H122/F122*1000,"")</f>
        <v/>
      </c>
      <c r="M122" s="31" t="str">
        <f aca="false">IFERROR(I122/F122*1000,"")</f>
        <v/>
      </c>
      <c r="N122" s="32" t="str">
        <f aca="false">IF(G122="","",IF(G122&gt;=0.5,"PASS","FIX HOOK"))</f>
        <v/>
      </c>
    </row>
    <row r="123" customFormat="false" ht="15" hidden="false" customHeight="false" outlineLevel="0" collapsed="false">
      <c r="A123" s="33"/>
      <c r="B123" s="33"/>
      <c r="C123" s="33"/>
      <c r="D123" s="33"/>
      <c r="E123" s="33"/>
      <c r="F123" s="34"/>
      <c r="G123" s="35"/>
      <c r="H123" s="34"/>
      <c r="I123" s="34"/>
      <c r="J123" s="34"/>
      <c r="K123" s="34"/>
      <c r="L123" s="31" t="str">
        <f aca="false">IFERROR(H123/F123*1000,"")</f>
        <v/>
      </c>
      <c r="M123" s="31" t="str">
        <f aca="false">IFERROR(I123/F123*1000,"")</f>
        <v/>
      </c>
      <c r="N123" s="32" t="str">
        <f aca="false">IF(G123="","",IF(G123&gt;=0.5,"PASS","FIX HOOK"))</f>
        <v/>
      </c>
    </row>
    <row r="124" customFormat="false" ht="15" hidden="false" customHeight="false" outlineLevel="0" collapsed="false">
      <c r="A124" s="33"/>
      <c r="B124" s="33"/>
      <c r="C124" s="33"/>
      <c r="D124" s="33"/>
      <c r="E124" s="33"/>
      <c r="F124" s="34"/>
      <c r="G124" s="35"/>
      <c r="H124" s="34"/>
      <c r="I124" s="34"/>
      <c r="J124" s="34"/>
      <c r="K124" s="34"/>
      <c r="L124" s="31" t="str">
        <f aca="false">IFERROR(H124/F124*1000,"")</f>
        <v/>
      </c>
      <c r="M124" s="31" t="str">
        <f aca="false">IFERROR(I124/F124*1000,"")</f>
        <v/>
      </c>
      <c r="N124" s="32" t="str">
        <f aca="false">IF(G124="","",IF(G124&gt;=0.5,"PASS","FIX HOOK"))</f>
        <v/>
      </c>
    </row>
    <row r="125" customFormat="false" ht="15" hidden="false" customHeight="false" outlineLevel="0" collapsed="false">
      <c r="A125" s="33"/>
      <c r="B125" s="33"/>
      <c r="C125" s="33"/>
      <c r="D125" s="33"/>
      <c r="E125" s="33"/>
      <c r="F125" s="34"/>
      <c r="G125" s="35"/>
      <c r="H125" s="34"/>
      <c r="I125" s="34"/>
      <c r="J125" s="34"/>
      <c r="K125" s="34"/>
      <c r="L125" s="31" t="str">
        <f aca="false">IFERROR(H125/F125*1000,"")</f>
        <v/>
      </c>
      <c r="M125" s="31" t="str">
        <f aca="false">IFERROR(I125/F125*1000,"")</f>
        <v/>
      </c>
      <c r="N125" s="32" t="str">
        <f aca="false">IF(G125="","",IF(G125&gt;=0.5,"PASS","FIX HOOK"))</f>
        <v/>
      </c>
    </row>
    <row r="126" customFormat="false" ht="15" hidden="false" customHeight="false" outlineLevel="0" collapsed="false">
      <c r="A126" s="33"/>
      <c r="B126" s="33"/>
      <c r="C126" s="33"/>
      <c r="D126" s="33"/>
      <c r="E126" s="33"/>
      <c r="F126" s="34"/>
      <c r="G126" s="35"/>
      <c r="H126" s="34"/>
      <c r="I126" s="34"/>
      <c r="J126" s="34"/>
      <c r="K126" s="34"/>
      <c r="L126" s="31" t="str">
        <f aca="false">IFERROR(H126/F126*1000,"")</f>
        <v/>
      </c>
      <c r="M126" s="31" t="str">
        <f aca="false">IFERROR(I126/F126*1000,"")</f>
        <v/>
      </c>
      <c r="N126" s="32" t="str">
        <f aca="false">IF(G126="","",IF(G126&gt;=0.5,"PASS","FIX HOOK"))</f>
        <v/>
      </c>
    </row>
    <row r="127" customFormat="false" ht="15" hidden="false" customHeight="false" outlineLevel="0" collapsed="false">
      <c r="A127" s="33"/>
      <c r="B127" s="33"/>
      <c r="C127" s="33"/>
      <c r="D127" s="33"/>
      <c r="E127" s="33"/>
      <c r="F127" s="34"/>
      <c r="G127" s="35"/>
      <c r="H127" s="34"/>
      <c r="I127" s="34"/>
      <c r="J127" s="34"/>
      <c r="K127" s="34"/>
      <c r="L127" s="31" t="str">
        <f aca="false">IFERROR(H127/F127*1000,"")</f>
        <v/>
      </c>
      <c r="M127" s="31" t="str">
        <f aca="false">IFERROR(I127/F127*1000,"")</f>
        <v/>
      </c>
      <c r="N127" s="32" t="str">
        <f aca="false">IF(G127="","",IF(G127&gt;=0.5,"PASS","FIX HOOK"))</f>
        <v/>
      </c>
    </row>
    <row r="128" customFormat="false" ht="15" hidden="false" customHeight="false" outlineLevel="0" collapsed="false">
      <c r="A128" s="33"/>
      <c r="B128" s="33"/>
      <c r="C128" s="33"/>
      <c r="D128" s="33"/>
      <c r="E128" s="33"/>
      <c r="F128" s="34"/>
      <c r="G128" s="35"/>
      <c r="H128" s="34"/>
      <c r="I128" s="34"/>
      <c r="J128" s="34"/>
      <c r="K128" s="34"/>
      <c r="L128" s="31" t="str">
        <f aca="false">IFERROR(H128/F128*1000,"")</f>
        <v/>
      </c>
      <c r="M128" s="31" t="str">
        <f aca="false">IFERROR(I128/F128*1000,"")</f>
        <v/>
      </c>
      <c r="N128" s="32" t="str">
        <f aca="false">IF(G128="","",IF(G128&gt;=0.5,"PASS","FIX HOOK"))</f>
        <v/>
      </c>
    </row>
    <row r="129" customFormat="false" ht="15" hidden="false" customHeight="false" outlineLevel="0" collapsed="false">
      <c r="A129" s="33"/>
      <c r="B129" s="33"/>
      <c r="C129" s="33"/>
      <c r="D129" s="33"/>
      <c r="E129" s="33"/>
      <c r="F129" s="34"/>
      <c r="G129" s="35"/>
      <c r="H129" s="34"/>
      <c r="I129" s="34"/>
      <c r="J129" s="34"/>
      <c r="K129" s="34"/>
      <c r="L129" s="31" t="str">
        <f aca="false">IFERROR(H129/F129*1000,"")</f>
        <v/>
      </c>
      <c r="M129" s="31" t="str">
        <f aca="false">IFERROR(I129/F129*1000,"")</f>
        <v/>
      </c>
      <c r="N129" s="32" t="str">
        <f aca="false">IF(G129="","",IF(G129&gt;=0.5,"PASS","FIX HOOK"))</f>
        <v/>
      </c>
    </row>
    <row r="130" customFormat="false" ht="15" hidden="false" customHeight="false" outlineLevel="0" collapsed="false">
      <c r="A130" s="33"/>
      <c r="B130" s="33"/>
      <c r="C130" s="33"/>
      <c r="D130" s="33"/>
      <c r="E130" s="33"/>
      <c r="F130" s="34"/>
      <c r="G130" s="35"/>
      <c r="H130" s="34"/>
      <c r="I130" s="34"/>
      <c r="J130" s="34"/>
      <c r="K130" s="34"/>
      <c r="L130" s="31" t="str">
        <f aca="false">IFERROR(H130/F130*1000,"")</f>
        <v/>
      </c>
      <c r="M130" s="31" t="str">
        <f aca="false">IFERROR(I130/F130*1000,"")</f>
        <v/>
      </c>
      <c r="N130" s="32" t="str">
        <f aca="false">IF(G130="","",IF(G130&gt;=0.5,"PASS","FIX HOOK"))</f>
        <v/>
      </c>
    </row>
    <row r="131" customFormat="false" ht="15" hidden="false" customHeight="false" outlineLevel="0" collapsed="false">
      <c r="A131" s="33"/>
      <c r="B131" s="33"/>
      <c r="C131" s="33"/>
      <c r="D131" s="33"/>
      <c r="E131" s="33"/>
      <c r="F131" s="34"/>
      <c r="G131" s="35"/>
      <c r="H131" s="34"/>
      <c r="I131" s="34"/>
      <c r="J131" s="34"/>
      <c r="K131" s="34"/>
      <c r="L131" s="31" t="str">
        <f aca="false">IFERROR(H131/F131*1000,"")</f>
        <v/>
      </c>
      <c r="M131" s="31" t="str">
        <f aca="false">IFERROR(I131/F131*1000,"")</f>
        <v/>
      </c>
      <c r="N131" s="32" t="str">
        <f aca="false">IF(G131="","",IF(G131&gt;=0.5,"PASS","FIX HOOK"))</f>
        <v/>
      </c>
    </row>
    <row r="132" customFormat="false" ht="15" hidden="false" customHeight="false" outlineLevel="0" collapsed="false">
      <c r="A132" s="33"/>
      <c r="B132" s="33"/>
      <c r="C132" s="33"/>
      <c r="D132" s="33"/>
      <c r="E132" s="33"/>
      <c r="F132" s="34"/>
      <c r="G132" s="35"/>
      <c r="H132" s="34"/>
      <c r="I132" s="34"/>
      <c r="J132" s="34"/>
      <c r="K132" s="34"/>
      <c r="L132" s="31" t="str">
        <f aca="false">IFERROR(H132/F132*1000,"")</f>
        <v/>
      </c>
      <c r="M132" s="31" t="str">
        <f aca="false">IFERROR(I132/F132*1000,"")</f>
        <v/>
      </c>
      <c r="N132" s="32" t="str">
        <f aca="false">IF(G132="","",IF(G132&gt;=0.5,"PASS","FIX HOOK"))</f>
        <v/>
      </c>
    </row>
    <row r="133" customFormat="false" ht="15" hidden="false" customHeight="false" outlineLevel="0" collapsed="false">
      <c r="A133" s="33"/>
      <c r="B133" s="33"/>
      <c r="C133" s="33"/>
      <c r="D133" s="33"/>
      <c r="E133" s="33"/>
      <c r="F133" s="34"/>
      <c r="G133" s="35"/>
      <c r="H133" s="34"/>
      <c r="I133" s="34"/>
      <c r="J133" s="34"/>
      <c r="K133" s="34"/>
      <c r="L133" s="31" t="str">
        <f aca="false">IFERROR(H133/F133*1000,"")</f>
        <v/>
      </c>
      <c r="M133" s="31" t="str">
        <f aca="false">IFERROR(I133/F133*1000,"")</f>
        <v/>
      </c>
      <c r="N133" s="32" t="str">
        <f aca="false">IF(G133="","",IF(G133&gt;=0.5,"PASS","FIX HOOK"))</f>
        <v/>
      </c>
    </row>
    <row r="134" customFormat="false" ht="15" hidden="false" customHeight="false" outlineLevel="0" collapsed="false">
      <c r="A134" s="33"/>
      <c r="B134" s="33"/>
      <c r="C134" s="33"/>
      <c r="D134" s="33"/>
      <c r="E134" s="33"/>
      <c r="F134" s="34"/>
      <c r="G134" s="35"/>
      <c r="H134" s="34"/>
      <c r="I134" s="34"/>
      <c r="J134" s="34"/>
      <c r="K134" s="34"/>
      <c r="L134" s="31" t="str">
        <f aca="false">IFERROR(H134/F134*1000,"")</f>
        <v/>
      </c>
      <c r="M134" s="31" t="str">
        <f aca="false">IFERROR(I134/F134*1000,"")</f>
        <v/>
      </c>
      <c r="N134" s="32" t="str">
        <f aca="false">IF(G134="","",IF(G134&gt;=0.5,"PASS","FIX HOOK"))</f>
        <v/>
      </c>
    </row>
    <row r="135" customFormat="false" ht="15" hidden="false" customHeight="false" outlineLevel="0" collapsed="false">
      <c r="A135" s="33"/>
      <c r="B135" s="33"/>
      <c r="C135" s="33"/>
      <c r="D135" s="33"/>
      <c r="E135" s="33"/>
      <c r="F135" s="34"/>
      <c r="G135" s="35"/>
      <c r="H135" s="34"/>
      <c r="I135" s="34"/>
      <c r="J135" s="34"/>
      <c r="K135" s="34"/>
      <c r="L135" s="31" t="str">
        <f aca="false">IFERROR(H135/F135*1000,"")</f>
        <v/>
      </c>
      <c r="M135" s="31" t="str">
        <f aca="false">IFERROR(I135/F135*1000,"")</f>
        <v/>
      </c>
      <c r="N135" s="32" t="str">
        <f aca="false">IF(G135="","",IF(G135&gt;=0.5,"PASS","FIX HOOK"))</f>
        <v/>
      </c>
    </row>
    <row r="136" customFormat="false" ht="15" hidden="false" customHeight="false" outlineLevel="0" collapsed="false">
      <c r="A136" s="33"/>
      <c r="B136" s="33"/>
      <c r="C136" s="33"/>
      <c r="D136" s="33"/>
      <c r="E136" s="33"/>
      <c r="F136" s="34"/>
      <c r="G136" s="35"/>
      <c r="H136" s="34"/>
      <c r="I136" s="34"/>
      <c r="J136" s="34"/>
      <c r="K136" s="34"/>
      <c r="L136" s="31" t="str">
        <f aca="false">IFERROR(H136/F136*1000,"")</f>
        <v/>
      </c>
      <c r="M136" s="31" t="str">
        <f aca="false">IFERROR(I136/F136*1000,"")</f>
        <v/>
      </c>
      <c r="N136" s="32" t="str">
        <f aca="false">IF(G136="","",IF(G136&gt;=0.5,"PASS","FIX HOOK"))</f>
        <v/>
      </c>
    </row>
    <row r="137" customFormat="false" ht="15" hidden="false" customHeight="false" outlineLevel="0" collapsed="false">
      <c r="A137" s="33"/>
      <c r="B137" s="33"/>
      <c r="C137" s="33"/>
      <c r="D137" s="33"/>
      <c r="E137" s="33"/>
      <c r="F137" s="34"/>
      <c r="G137" s="35"/>
      <c r="H137" s="34"/>
      <c r="I137" s="34"/>
      <c r="J137" s="34"/>
      <c r="K137" s="34"/>
      <c r="L137" s="31" t="str">
        <f aca="false">IFERROR(H137/F137*1000,"")</f>
        <v/>
      </c>
      <c r="M137" s="31" t="str">
        <f aca="false">IFERROR(I137/F137*1000,"")</f>
        <v/>
      </c>
      <c r="N137" s="32" t="str">
        <f aca="false">IF(G137="","",IF(G137&gt;=0.5,"PASS","FIX HOOK"))</f>
        <v/>
      </c>
    </row>
    <row r="138" customFormat="false" ht="15" hidden="false" customHeight="false" outlineLevel="0" collapsed="false">
      <c r="A138" s="33"/>
      <c r="B138" s="33"/>
      <c r="C138" s="33"/>
      <c r="D138" s="33"/>
      <c r="E138" s="33"/>
      <c r="F138" s="34"/>
      <c r="G138" s="35"/>
      <c r="H138" s="34"/>
      <c r="I138" s="34"/>
      <c r="J138" s="34"/>
      <c r="K138" s="34"/>
      <c r="L138" s="31" t="str">
        <f aca="false">IFERROR(H138/F138*1000,"")</f>
        <v/>
      </c>
      <c r="M138" s="31" t="str">
        <f aca="false">IFERROR(I138/F138*1000,"")</f>
        <v/>
      </c>
      <c r="N138" s="32" t="str">
        <f aca="false">IF(G138="","",IF(G138&gt;=0.5,"PASS","FIX HOOK"))</f>
        <v/>
      </c>
    </row>
    <row r="139" customFormat="false" ht="15" hidden="false" customHeight="false" outlineLevel="0" collapsed="false">
      <c r="A139" s="33"/>
      <c r="B139" s="33"/>
      <c r="C139" s="33"/>
      <c r="D139" s="33"/>
      <c r="E139" s="33"/>
      <c r="F139" s="34"/>
      <c r="G139" s="35"/>
      <c r="H139" s="34"/>
      <c r="I139" s="34"/>
      <c r="J139" s="34"/>
      <c r="K139" s="34"/>
      <c r="L139" s="31" t="str">
        <f aca="false">IFERROR(H139/F139*1000,"")</f>
        <v/>
      </c>
      <c r="M139" s="31" t="str">
        <f aca="false">IFERROR(I139/F139*1000,"")</f>
        <v/>
      </c>
      <c r="N139" s="32" t="str">
        <f aca="false">IF(G139="","",IF(G139&gt;=0.5,"PASS","FIX HOOK"))</f>
        <v/>
      </c>
    </row>
    <row r="140" customFormat="false" ht="15" hidden="false" customHeight="false" outlineLevel="0" collapsed="false">
      <c r="A140" s="33"/>
      <c r="B140" s="33"/>
      <c r="C140" s="33"/>
      <c r="D140" s="33"/>
      <c r="E140" s="33"/>
      <c r="F140" s="34"/>
      <c r="G140" s="35"/>
      <c r="H140" s="34"/>
      <c r="I140" s="34"/>
      <c r="J140" s="34"/>
      <c r="K140" s="34"/>
      <c r="L140" s="31" t="str">
        <f aca="false">IFERROR(H140/F140*1000,"")</f>
        <v/>
      </c>
      <c r="M140" s="31" t="str">
        <f aca="false">IFERROR(I140/F140*1000,"")</f>
        <v/>
      </c>
      <c r="N140" s="32" t="str">
        <f aca="false">IF(G140="","",IF(G140&gt;=0.5,"PASS","FIX HOOK"))</f>
        <v/>
      </c>
    </row>
    <row r="141" customFormat="false" ht="15" hidden="false" customHeight="false" outlineLevel="0" collapsed="false">
      <c r="A141" s="33"/>
      <c r="B141" s="33"/>
      <c r="C141" s="33"/>
      <c r="D141" s="33"/>
      <c r="E141" s="33"/>
      <c r="F141" s="34"/>
      <c r="G141" s="35"/>
      <c r="H141" s="34"/>
      <c r="I141" s="34"/>
      <c r="J141" s="34"/>
      <c r="K141" s="34"/>
      <c r="L141" s="31" t="str">
        <f aca="false">IFERROR(H141/F141*1000,"")</f>
        <v/>
      </c>
      <c r="M141" s="31" t="str">
        <f aca="false">IFERROR(I141/F141*1000,"")</f>
        <v/>
      </c>
      <c r="N141" s="32" t="str">
        <f aca="false">IF(G141="","",IF(G141&gt;=0.5,"PASS","FIX HOOK"))</f>
        <v/>
      </c>
    </row>
    <row r="142" customFormat="false" ht="15" hidden="false" customHeight="false" outlineLevel="0" collapsed="false">
      <c r="A142" s="33"/>
      <c r="B142" s="33"/>
      <c r="C142" s="33"/>
      <c r="D142" s="33"/>
      <c r="E142" s="33"/>
      <c r="F142" s="34"/>
      <c r="G142" s="35"/>
      <c r="H142" s="34"/>
      <c r="I142" s="34"/>
      <c r="J142" s="34"/>
      <c r="K142" s="34"/>
      <c r="L142" s="31" t="str">
        <f aca="false">IFERROR(H142/F142*1000,"")</f>
        <v/>
      </c>
      <c r="M142" s="31" t="str">
        <f aca="false">IFERROR(I142/F142*1000,"")</f>
        <v/>
      </c>
      <c r="N142" s="32" t="str">
        <f aca="false">IF(G142="","",IF(G142&gt;=0.5,"PASS","FIX HOOK"))</f>
        <v/>
      </c>
    </row>
    <row r="143" customFormat="false" ht="15" hidden="false" customHeight="false" outlineLevel="0" collapsed="false">
      <c r="A143" s="33"/>
      <c r="B143" s="33"/>
      <c r="C143" s="33"/>
      <c r="D143" s="33"/>
      <c r="E143" s="33"/>
      <c r="F143" s="34"/>
      <c r="G143" s="35"/>
      <c r="H143" s="34"/>
      <c r="I143" s="34"/>
      <c r="J143" s="34"/>
      <c r="K143" s="34"/>
      <c r="L143" s="31" t="str">
        <f aca="false">IFERROR(H143/F143*1000,"")</f>
        <v/>
      </c>
      <c r="M143" s="31" t="str">
        <f aca="false">IFERROR(I143/F143*1000,"")</f>
        <v/>
      </c>
      <c r="N143" s="32" t="str">
        <f aca="false">IF(G143="","",IF(G143&gt;=0.5,"PASS","FIX HOOK"))</f>
        <v/>
      </c>
    </row>
    <row r="144" customFormat="false" ht="15" hidden="false" customHeight="false" outlineLevel="0" collapsed="false">
      <c r="A144" s="33"/>
      <c r="B144" s="33"/>
      <c r="C144" s="33"/>
      <c r="D144" s="33"/>
      <c r="E144" s="33"/>
      <c r="F144" s="34"/>
      <c r="G144" s="35"/>
      <c r="H144" s="34"/>
      <c r="I144" s="34"/>
      <c r="J144" s="34"/>
      <c r="K144" s="34"/>
      <c r="L144" s="31" t="str">
        <f aca="false">IFERROR(H144/F144*1000,"")</f>
        <v/>
      </c>
      <c r="M144" s="31" t="str">
        <f aca="false">IFERROR(I144/F144*1000,"")</f>
        <v/>
      </c>
      <c r="N144" s="32" t="str">
        <f aca="false">IF(G144="","",IF(G144&gt;=0.5,"PASS","FIX HOOK"))</f>
        <v/>
      </c>
    </row>
    <row r="145" customFormat="false" ht="15" hidden="false" customHeight="false" outlineLevel="0" collapsed="false">
      <c r="A145" s="33"/>
      <c r="B145" s="33"/>
      <c r="C145" s="33"/>
      <c r="D145" s="33"/>
      <c r="E145" s="33"/>
      <c r="F145" s="34"/>
      <c r="G145" s="35"/>
      <c r="H145" s="34"/>
      <c r="I145" s="34"/>
      <c r="J145" s="34"/>
      <c r="K145" s="34"/>
      <c r="L145" s="31" t="str">
        <f aca="false">IFERROR(H145/F145*1000,"")</f>
        <v/>
      </c>
      <c r="M145" s="31" t="str">
        <f aca="false">IFERROR(I145/F145*1000,"")</f>
        <v/>
      </c>
      <c r="N145" s="32" t="str">
        <f aca="false">IF(G145="","",IF(G145&gt;=0.5,"PASS","FIX HOOK"))</f>
        <v/>
      </c>
    </row>
    <row r="146" customFormat="false" ht="15" hidden="false" customHeight="false" outlineLevel="0" collapsed="false">
      <c r="A146" s="33"/>
      <c r="B146" s="33"/>
      <c r="C146" s="33"/>
      <c r="D146" s="33"/>
      <c r="E146" s="33"/>
      <c r="F146" s="34"/>
      <c r="G146" s="35"/>
      <c r="H146" s="34"/>
      <c r="I146" s="34"/>
      <c r="J146" s="34"/>
      <c r="K146" s="34"/>
      <c r="L146" s="31" t="str">
        <f aca="false">IFERROR(H146/F146*1000,"")</f>
        <v/>
      </c>
      <c r="M146" s="31" t="str">
        <f aca="false">IFERROR(I146/F146*1000,"")</f>
        <v/>
      </c>
      <c r="N146" s="32" t="str">
        <f aca="false">IF(G146="","",IF(G146&gt;=0.5,"PASS","FIX HOOK"))</f>
        <v/>
      </c>
    </row>
    <row r="147" customFormat="false" ht="15" hidden="false" customHeight="false" outlineLevel="0" collapsed="false">
      <c r="A147" s="33"/>
      <c r="B147" s="33"/>
      <c r="C147" s="33"/>
      <c r="D147" s="33"/>
      <c r="E147" s="33"/>
      <c r="F147" s="34"/>
      <c r="G147" s="35"/>
      <c r="H147" s="34"/>
      <c r="I147" s="34"/>
      <c r="J147" s="34"/>
      <c r="K147" s="34"/>
      <c r="L147" s="31" t="str">
        <f aca="false">IFERROR(H147/F147*1000,"")</f>
        <v/>
      </c>
      <c r="M147" s="31" t="str">
        <f aca="false">IFERROR(I147/F147*1000,"")</f>
        <v/>
      </c>
      <c r="N147" s="32" t="str">
        <f aca="false">IF(G147="","",IF(G147&gt;=0.5,"PASS","FIX HOOK"))</f>
        <v/>
      </c>
    </row>
    <row r="148" customFormat="false" ht="15" hidden="false" customHeight="false" outlineLevel="0" collapsed="false">
      <c r="A148" s="33"/>
      <c r="B148" s="33"/>
      <c r="C148" s="33"/>
      <c r="D148" s="33"/>
      <c r="E148" s="33"/>
      <c r="F148" s="34"/>
      <c r="G148" s="35"/>
      <c r="H148" s="34"/>
      <c r="I148" s="34"/>
      <c r="J148" s="34"/>
      <c r="K148" s="34"/>
      <c r="L148" s="31" t="str">
        <f aca="false">IFERROR(H148/F148*1000,"")</f>
        <v/>
      </c>
      <c r="M148" s="31" t="str">
        <f aca="false">IFERROR(I148/F148*1000,"")</f>
        <v/>
      </c>
      <c r="N148" s="32" t="str">
        <f aca="false">IF(G148="","",IF(G148&gt;=0.5,"PASS","FIX HOOK"))</f>
        <v/>
      </c>
    </row>
    <row r="149" customFormat="false" ht="15" hidden="false" customHeight="false" outlineLevel="0" collapsed="false">
      <c r="A149" s="33"/>
      <c r="B149" s="33"/>
      <c r="C149" s="33"/>
      <c r="D149" s="33"/>
      <c r="E149" s="33"/>
      <c r="F149" s="34"/>
      <c r="G149" s="35"/>
      <c r="H149" s="34"/>
      <c r="I149" s="34"/>
      <c r="J149" s="34"/>
      <c r="K149" s="34"/>
      <c r="L149" s="31" t="str">
        <f aca="false">IFERROR(H149/F149*1000,"")</f>
        <v/>
      </c>
      <c r="M149" s="31" t="str">
        <f aca="false">IFERROR(I149/F149*1000,"")</f>
        <v/>
      </c>
      <c r="N149" s="32" t="str">
        <f aca="false">IF(G149="","",IF(G149&gt;=0.5,"PASS","FIX HOOK"))</f>
        <v/>
      </c>
    </row>
    <row r="150" customFormat="false" ht="15" hidden="false" customHeight="false" outlineLevel="0" collapsed="false">
      <c r="A150" s="33"/>
      <c r="B150" s="33"/>
      <c r="C150" s="33"/>
      <c r="D150" s="33"/>
      <c r="E150" s="33"/>
      <c r="F150" s="34"/>
      <c r="G150" s="35"/>
      <c r="H150" s="34"/>
      <c r="I150" s="34"/>
      <c r="J150" s="34"/>
      <c r="K150" s="34"/>
      <c r="L150" s="31" t="str">
        <f aca="false">IFERROR(H150/F150*1000,"")</f>
        <v/>
      </c>
      <c r="M150" s="31" t="str">
        <f aca="false">IFERROR(I150/F150*1000,"")</f>
        <v/>
      </c>
      <c r="N150" s="32" t="str">
        <f aca="false">IF(G150="","",IF(G150&gt;=0.5,"PASS","FIX HOOK"))</f>
        <v/>
      </c>
    </row>
    <row r="151" customFormat="false" ht="15" hidden="false" customHeight="false" outlineLevel="0" collapsed="false">
      <c r="A151" s="33"/>
      <c r="B151" s="33"/>
      <c r="C151" s="33"/>
      <c r="D151" s="33"/>
      <c r="E151" s="33"/>
      <c r="F151" s="34"/>
      <c r="G151" s="35"/>
      <c r="H151" s="34"/>
      <c r="I151" s="34"/>
      <c r="J151" s="34"/>
      <c r="K151" s="34"/>
      <c r="L151" s="31" t="str">
        <f aca="false">IFERROR(H151/F151*1000,"")</f>
        <v/>
      </c>
      <c r="M151" s="31" t="str">
        <f aca="false">IFERROR(I151/F151*1000,"")</f>
        <v/>
      </c>
      <c r="N151" s="32" t="str">
        <f aca="false">IF(G151="","",IF(G151&gt;=0.5,"PASS","FIX HOOK"))</f>
        <v/>
      </c>
    </row>
    <row r="152" customFormat="false" ht="15" hidden="false" customHeight="false" outlineLevel="0" collapsed="false">
      <c r="A152" s="33"/>
      <c r="B152" s="33"/>
      <c r="C152" s="33"/>
      <c r="D152" s="33"/>
      <c r="E152" s="33"/>
      <c r="F152" s="34"/>
      <c r="G152" s="35"/>
      <c r="H152" s="34"/>
      <c r="I152" s="34"/>
      <c r="J152" s="34"/>
      <c r="K152" s="34"/>
      <c r="L152" s="31" t="str">
        <f aca="false">IFERROR(H152/F152*1000,"")</f>
        <v/>
      </c>
      <c r="M152" s="31" t="str">
        <f aca="false">IFERROR(I152/F152*1000,"")</f>
        <v/>
      </c>
      <c r="N152" s="32" t="str">
        <f aca="false">IF(G152="","",IF(G152&gt;=0.5,"PASS","FIX HOOK"))</f>
        <v/>
      </c>
    </row>
    <row r="153" customFormat="false" ht="15" hidden="false" customHeight="false" outlineLevel="0" collapsed="false">
      <c r="A153" s="33"/>
      <c r="B153" s="33"/>
      <c r="C153" s="33"/>
      <c r="D153" s="33"/>
      <c r="E153" s="33"/>
      <c r="F153" s="34"/>
      <c r="G153" s="35"/>
      <c r="H153" s="34"/>
      <c r="I153" s="34"/>
      <c r="J153" s="34"/>
      <c r="K153" s="34"/>
      <c r="L153" s="31" t="str">
        <f aca="false">IFERROR(H153/F153*1000,"")</f>
        <v/>
      </c>
      <c r="M153" s="31" t="str">
        <f aca="false">IFERROR(I153/F153*1000,"")</f>
        <v/>
      </c>
      <c r="N153" s="32" t="str">
        <f aca="false">IF(G153="","",IF(G153&gt;=0.5,"PASS","FIX HOOK"))</f>
        <v/>
      </c>
    </row>
    <row r="154" customFormat="false" ht="15" hidden="false" customHeight="false" outlineLevel="0" collapsed="false">
      <c r="A154" s="33"/>
      <c r="B154" s="33"/>
      <c r="C154" s="33"/>
      <c r="D154" s="33"/>
      <c r="E154" s="33"/>
      <c r="F154" s="34"/>
      <c r="G154" s="35"/>
      <c r="H154" s="34"/>
      <c r="I154" s="34"/>
      <c r="J154" s="34"/>
      <c r="K154" s="34"/>
      <c r="L154" s="31" t="str">
        <f aca="false">IFERROR(H154/F154*1000,"")</f>
        <v/>
      </c>
      <c r="M154" s="31" t="str">
        <f aca="false">IFERROR(I154/F154*1000,"")</f>
        <v/>
      </c>
      <c r="N154" s="32" t="str">
        <f aca="false">IF(G154="","",IF(G154&gt;=0.5,"PASS","FIX HOOK"))</f>
        <v/>
      </c>
    </row>
    <row r="155" customFormat="false" ht="15" hidden="false" customHeight="false" outlineLevel="0" collapsed="false">
      <c r="A155" s="33"/>
      <c r="B155" s="33"/>
      <c r="C155" s="33"/>
      <c r="D155" s="33"/>
      <c r="E155" s="33"/>
      <c r="F155" s="34"/>
      <c r="G155" s="35"/>
      <c r="H155" s="34"/>
      <c r="I155" s="34"/>
      <c r="J155" s="34"/>
      <c r="K155" s="34"/>
      <c r="L155" s="31" t="str">
        <f aca="false">IFERROR(H155/F155*1000,"")</f>
        <v/>
      </c>
      <c r="M155" s="31" t="str">
        <f aca="false">IFERROR(I155/F155*1000,"")</f>
        <v/>
      </c>
      <c r="N155" s="32" t="str">
        <f aca="false">IF(G155="","",IF(G155&gt;=0.5,"PASS","FIX HOOK"))</f>
        <v/>
      </c>
    </row>
    <row r="156" customFormat="false" ht="15" hidden="false" customHeight="false" outlineLevel="0" collapsed="false">
      <c r="A156" s="33"/>
      <c r="B156" s="33"/>
      <c r="C156" s="33"/>
      <c r="D156" s="33"/>
      <c r="E156" s="33"/>
      <c r="F156" s="34"/>
      <c r="G156" s="35"/>
      <c r="H156" s="34"/>
      <c r="I156" s="34"/>
      <c r="J156" s="34"/>
      <c r="K156" s="34"/>
      <c r="L156" s="31" t="str">
        <f aca="false">IFERROR(H156/F156*1000,"")</f>
        <v/>
      </c>
      <c r="M156" s="31" t="str">
        <f aca="false">IFERROR(I156/F156*1000,"")</f>
        <v/>
      </c>
      <c r="N156" s="32" t="str">
        <f aca="false">IF(G156="","",IF(G156&gt;=0.5,"PASS","FIX HOOK"))</f>
        <v/>
      </c>
    </row>
    <row r="157" customFormat="false" ht="15" hidden="false" customHeight="false" outlineLevel="0" collapsed="false">
      <c r="A157" s="33"/>
      <c r="B157" s="33"/>
      <c r="C157" s="33"/>
      <c r="D157" s="33"/>
      <c r="E157" s="33"/>
      <c r="F157" s="34"/>
      <c r="G157" s="35"/>
      <c r="H157" s="34"/>
      <c r="I157" s="34"/>
      <c r="J157" s="34"/>
      <c r="K157" s="34"/>
      <c r="L157" s="31" t="str">
        <f aca="false">IFERROR(H157/F157*1000,"")</f>
        <v/>
      </c>
      <c r="M157" s="31" t="str">
        <f aca="false">IFERROR(I157/F157*1000,"")</f>
        <v/>
      </c>
      <c r="N157" s="32" t="str">
        <f aca="false">IF(G157="","",IF(G157&gt;=0.5,"PASS","FIX HOOK"))</f>
        <v/>
      </c>
    </row>
    <row r="158" customFormat="false" ht="15" hidden="false" customHeight="false" outlineLevel="0" collapsed="false">
      <c r="A158" s="33"/>
      <c r="B158" s="33"/>
      <c r="C158" s="33"/>
      <c r="D158" s="33"/>
      <c r="E158" s="33"/>
      <c r="F158" s="34"/>
      <c r="G158" s="35"/>
      <c r="H158" s="34"/>
      <c r="I158" s="34"/>
      <c r="J158" s="34"/>
      <c r="K158" s="34"/>
      <c r="L158" s="31" t="str">
        <f aca="false">IFERROR(H158/F158*1000,"")</f>
        <v/>
      </c>
      <c r="M158" s="31" t="str">
        <f aca="false">IFERROR(I158/F158*1000,"")</f>
        <v/>
      </c>
      <c r="N158" s="32" t="str">
        <f aca="false">IF(G158="","",IF(G158&gt;=0.5,"PASS","FIX HOOK"))</f>
        <v/>
      </c>
    </row>
    <row r="159" customFormat="false" ht="15" hidden="false" customHeight="false" outlineLevel="0" collapsed="false">
      <c r="A159" s="33"/>
      <c r="B159" s="33"/>
      <c r="C159" s="33"/>
      <c r="D159" s="33"/>
      <c r="E159" s="33"/>
      <c r="F159" s="34"/>
      <c r="G159" s="35"/>
      <c r="H159" s="34"/>
      <c r="I159" s="34"/>
      <c r="J159" s="34"/>
      <c r="K159" s="34"/>
      <c r="L159" s="31" t="str">
        <f aca="false">IFERROR(H159/F159*1000,"")</f>
        <v/>
      </c>
      <c r="M159" s="31" t="str">
        <f aca="false">IFERROR(I159/F159*1000,"")</f>
        <v/>
      </c>
      <c r="N159" s="32" t="str">
        <f aca="false">IF(G159="","",IF(G159&gt;=0.5,"PASS","FIX HOOK"))</f>
        <v/>
      </c>
    </row>
    <row r="160" customFormat="false" ht="15" hidden="false" customHeight="false" outlineLevel="0" collapsed="false">
      <c r="A160" s="33"/>
      <c r="B160" s="33"/>
      <c r="C160" s="33"/>
      <c r="D160" s="33"/>
      <c r="E160" s="33"/>
      <c r="F160" s="34"/>
      <c r="G160" s="35"/>
      <c r="H160" s="34"/>
      <c r="I160" s="34"/>
      <c r="J160" s="34"/>
      <c r="K160" s="34"/>
      <c r="L160" s="31" t="str">
        <f aca="false">IFERROR(H160/F160*1000,"")</f>
        <v/>
      </c>
      <c r="M160" s="31" t="str">
        <f aca="false">IFERROR(I160/F160*1000,"")</f>
        <v/>
      </c>
      <c r="N160" s="32" t="str">
        <f aca="false">IF(G160="","",IF(G160&gt;=0.5,"PASS","FIX HOOK"))</f>
        <v/>
      </c>
    </row>
    <row r="161" customFormat="false" ht="15" hidden="false" customHeight="false" outlineLevel="0" collapsed="false">
      <c r="A161" s="33"/>
      <c r="B161" s="33"/>
      <c r="C161" s="33"/>
      <c r="D161" s="33"/>
      <c r="E161" s="33"/>
      <c r="F161" s="34"/>
      <c r="G161" s="35"/>
      <c r="H161" s="34"/>
      <c r="I161" s="34"/>
      <c r="J161" s="34"/>
      <c r="K161" s="34"/>
      <c r="L161" s="31" t="str">
        <f aca="false">IFERROR(H161/F161*1000,"")</f>
        <v/>
      </c>
      <c r="M161" s="31" t="str">
        <f aca="false">IFERROR(I161/F161*1000,"")</f>
        <v/>
      </c>
      <c r="N161" s="32" t="str">
        <f aca="false">IF(G161="","",IF(G161&gt;=0.5,"PASS","FIX HOOK"))</f>
        <v/>
      </c>
    </row>
    <row r="162" customFormat="false" ht="15" hidden="false" customHeight="false" outlineLevel="0" collapsed="false">
      <c r="A162" s="33"/>
      <c r="B162" s="33"/>
      <c r="C162" s="33"/>
      <c r="D162" s="33"/>
      <c r="E162" s="33"/>
      <c r="F162" s="34"/>
      <c r="G162" s="35"/>
      <c r="H162" s="34"/>
      <c r="I162" s="34"/>
      <c r="J162" s="34"/>
      <c r="K162" s="34"/>
      <c r="L162" s="31" t="str">
        <f aca="false">IFERROR(H162/F162*1000,"")</f>
        <v/>
      </c>
      <c r="M162" s="31" t="str">
        <f aca="false">IFERROR(I162/F162*1000,"")</f>
        <v/>
      </c>
      <c r="N162" s="32" t="str">
        <f aca="false">IF(G162="","",IF(G162&gt;=0.5,"PASS","FIX HOOK"))</f>
        <v/>
      </c>
    </row>
    <row r="163" customFormat="false" ht="15" hidden="false" customHeight="false" outlineLevel="0" collapsed="false">
      <c r="A163" s="33"/>
      <c r="B163" s="33"/>
      <c r="C163" s="33"/>
      <c r="D163" s="33"/>
      <c r="E163" s="33"/>
      <c r="F163" s="34"/>
      <c r="G163" s="35"/>
      <c r="H163" s="34"/>
      <c r="I163" s="34"/>
      <c r="J163" s="34"/>
      <c r="K163" s="34"/>
      <c r="L163" s="31" t="str">
        <f aca="false">IFERROR(H163/F163*1000,"")</f>
        <v/>
      </c>
      <c r="M163" s="31" t="str">
        <f aca="false">IFERROR(I163/F163*1000,"")</f>
        <v/>
      </c>
      <c r="N163" s="32" t="str">
        <f aca="false">IF(G163="","",IF(G163&gt;=0.5,"PASS","FIX HOOK"))</f>
        <v/>
      </c>
    </row>
    <row r="164" customFormat="false" ht="15" hidden="false" customHeight="false" outlineLevel="0" collapsed="false">
      <c r="A164" s="33"/>
      <c r="B164" s="33"/>
      <c r="C164" s="33"/>
      <c r="D164" s="33"/>
      <c r="E164" s="33"/>
      <c r="F164" s="34"/>
      <c r="G164" s="35"/>
      <c r="H164" s="34"/>
      <c r="I164" s="34"/>
      <c r="J164" s="34"/>
      <c r="K164" s="34"/>
      <c r="L164" s="31" t="str">
        <f aca="false">IFERROR(H164/F164*1000,"")</f>
        <v/>
      </c>
      <c r="M164" s="31" t="str">
        <f aca="false">IFERROR(I164/F164*1000,"")</f>
        <v/>
      </c>
      <c r="N164" s="32" t="str">
        <f aca="false">IF(G164="","",IF(G164&gt;=0.5,"PASS","FIX HOOK"))</f>
        <v/>
      </c>
    </row>
    <row r="165" customFormat="false" ht="15" hidden="false" customHeight="false" outlineLevel="0" collapsed="false">
      <c r="A165" s="33"/>
      <c r="B165" s="33"/>
      <c r="C165" s="33"/>
      <c r="D165" s="33"/>
      <c r="E165" s="33"/>
      <c r="F165" s="34"/>
      <c r="G165" s="35"/>
      <c r="H165" s="34"/>
      <c r="I165" s="34"/>
      <c r="J165" s="34"/>
      <c r="K165" s="34"/>
      <c r="L165" s="31" t="str">
        <f aca="false">IFERROR(H165/F165*1000,"")</f>
        <v/>
      </c>
      <c r="M165" s="31" t="str">
        <f aca="false">IFERROR(I165/F165*1000,"")</f>
        <v/>
      </c>
      <c r="N165" s="32" t="str">
        <f aca="false">IF(G165="","",IF(G165&gt;=0.5,"PASS","FIX HOOK"))</f>
        <v/>
      </c>
    </row>
    <row r="166" customFormat="false" ht="15" hidden="false" customHeight="false" outlineLevel="0" collapsed="false">
      <c r="A166" s="33"/>
      <c r="B166" s="33"/>
      <c r="C166" s="33"/>
      <c r="D166" s="33"/>
      <c r="E166" s="33"/>
      <c r="F166" s="34"/>
      <c r="G166" s="35"/>
      <c r="H166" s="34"/>
      <c r="I166" s="34"/>
      <c r="J166" s="34"/>
      <c r="K166" s="34"/>
      <c r="L166" s="31" t="str">
        <f aca="false">IFERROR(H166/F166*1000,"")</f>
        <v/>
      </c>
      <c r="M166" s="31" t="str">
        <f aca="false">IFERROR(I166/F166*1000,"")</f>
        <v/>
      </c>
      <c r="N166" s="32" t="str">
        <f aca="false">IF(G166="","",IF(G166&gt;=0.5,"PASS","FIX HOOK"))</f>
        <v/>
      </c>
    </row>
    <row r="167" customFormat="false" ht="15" hidden="false" customHeight="false" outlineLevel="0" collapsed="false">
      <c r="A167" s="33"/>
      <c r="B167" s="33"/>
      <c r="C167" s="33"/>
      <c r="D167" s="33"/>
      <c r="E167" s="33"/>
      <c r="F167" s="34"/>
      <c r="G167" s="35"/>
      <c r="H167" s="34"/>
      <c r="I167" s="34"/>
      <c r="J167" s="34"/>
      <c r="K167" s="34"/>
      <c r="L167" s="31" t="str">
        <f aca="false">IFERROR(H167/F167*1000,"")</f>
        <v/>
      </c>
      <c r="M167" s="31" t="str">
        <f aca="false">IFERROR(I167/F167*1000,"")</f>
        <v/>
      </c>
      <c r="N167" s="32" t="str">
        <f aca="false">IF(G167="","",IF(G167&gt;=0.5,"PASS","FIX HOOK"))</f>
        <v/>
      </c>
    </row>
    <row r="168" customFormat="false" ht="15" hidden="false" customHeight="false" outlineLevel="0" collapsed="false">
      <c r="A168" s="33"/>
      <c r="B168" s="33"/>
      <c r="C168" s="33"/>
      <c r="D168" s="33"/>
      <c r="E168" s="33"/>
      <c r="F168" s="34"/>
      <c r="G168" s="35"/>
      <c r="H168" s="34"/>
      <c r="I168" s="34"/>
      <c r="J168" s="34"/>
      <c r="K168" s="34"/>
      <c r="L168" s="31" t="str">
        <f aca="false">IFERROR(H168/F168*1000,"")</f>
        <v/>
      </c>
      <c r="M168" s="31" t="str">
        <f aca="false">IFERROR(I168/F168*1000,"")</f>
        <v/>
      </c>
      <c r="N168" s="32" t="str">
        <f aca="false">IF(G168="","",IF(G168&gt;=0.5,"PASS","FIX HOOK"))</f>
        <v/>
      </c>
    </row>
    <row r="169" customFormat="false" ht="15" hidden="false" customHeight="false" outlineLevel="0" collapsed="false">
      <c r="A169" s="33"/>
      <c r="B169" s="33"/>
      <c r="C169" s="33"/>
      <c r="D169" s="33"/>
      <c r="E169" s="33"/>
      <c r="F169" s="34"/>
      <c r="G169" s="35"/>
      <c r="H169" s="34"/>
      <c r="I169" s="34"/>
      <c r="J169" s="34"/>
      <c r="K169" s="34"/>
      <c r="L169" s="31" t="str">
        <f aca="false">IFERROR(H169/F169*1000,"")</f>
        <v/>
      </c>
      <c r="M169" s="31" t="str">
        <f aca="false">IFERROR(I169/F169*1000,"")</f>
        <v/>
      </c>
      <c r="N169" s="32" t="str">
        <f aca="false">IF(G169="","",IF(G169&gt;=0.5,"PASS","FIX HOOK"))</f>
        <v/>
      </c>
    </row>
    <row r="170" customFormat="false" ht="15" hidden="false" customHeight="false" outlineLevel="0" collapsed="false">
      <c r="A170" s="33"/>
      <c r="B170" s="33"/>
      <c r="C170" s="33"/>
      <c r="D170" s="33"/>
      <c r="E170" s="33"/>
      <c r="F170" s="34"/>
      <c r="G170" s="35"/>
      <c r="H170" s="34"/>
      <c r="I170" s="34"/>
      <c r="J170" s="34"/>
      <c r="K170" s="34"/>
      <c r="L170" s="31" t="str">
        <f aca="false">IFERROR(H170/F170*1000,"")</f>
        <v/>
      </c>
      <c r="M170" s="31" t="str">
        <f aca="false">IFERROR(I170/F170*1000,"")</f>
        <v/>
      </c>
      <c r="N170" s="32" t="str">
        <f aca="false">IF(G170="","",IF(G170&gt;=0.5,"PASS","FIX HOOK"))</f>
        <v/>
      </c>
    </row>
    <row r="171" customFormat="false" ht="15" hidden="false" customHeight="false" outlineLevel="0" collapsed="false">
      <c r="A171" s="33"/>
      <c r="B171" s="33"/>
      <c r="C171" s="33"/>
      <c r="D171" s="33"/>
      <c r="E171" s="33"/>
      <c r="F171" s="34"/>
      <c r="G171" s="35"/>
      <c r="H171" s="34"/>
      <c r="I171" s="34"/>
      <c r="J171" s="34"/>
      <c r="K171" s="34"/>
      <c r="L171" s="31" t="str">
        <f aca="false">IFERROR(H171/F171*1000,"")</f>
        <v/>
      </c>
      <c r="M171" s="31" t="str">
        <f aca="false">IFERROR(I171/F171*1000,"")</f>
        <v/>
      </c>
      <c r="N171" s="32" t="str">
        <f aca="false">IF(G171="","",IF(G171&gt;=0.5,"PASS","FIX HOOK"))</f>
        <v/>
      </c>
    </row>
    <row r="172" customFormat="false" ht="15" hidden="false" customHeight="false" outlineLevel="0" collapsed="false">
      <c r="A172" s="33"/>
      <c r="B172" s="33"/>
      <c r="C172" s="33"/>
      <c r="D172" s="33"/>
      <c r="E172" s="33"/>
      <c r="F172" s="34"/>
      <c r="G172" s="35"/>
      <c r="H172" s="34"/>
      <c r="I172" s="34"/>
      <c r="J172" s="34"/>
      <c r="K172" s="34"/>
      <c r="L172" s="31" t="str">
        <f aca="false">IFERROR(H172/F172*1000,"")</f>
        <v/>
      </c>
      <c r="M172" s="31" t="str">
        <f aca="false">IFERROR(I172/F172*1000,"")</f>
        <v/>
      </c>
      <c r="N172" s="32" t="str">
        <f aca="false">IF(G172="","",IF(G172&gt;=0.5,"PASS","FIX HOOK"))</f>
        <v/>
      </c>
    </row>
    <row r="173" customFormat="false" ht="15" hidden="false" customHeight="false" outlineLevel="0" collapsed="false">
      <c r="A173" s="33"/>
      <c r="B173" s="33"/>
      <c r="C173" s="33"/>
      <c r="D173" s="33"/>
      <c r="E173" s="33"/>
      <c r="F173" s="34"/>
      <c r="G173" s="35"/>
      <c r="H173" s="34"/>
      <c r="I173" s="34"/>
      <c r="J173" s="34"/>
      <c r="K173" s="34"/>
      <c r="L173" s="31" t="str">
        <f aca="false">IFERROR(H173/F173*1000,"")</f>
        <v/>
      </c>
      <c r="M173" s="31" t="str">
        <f aca="false">IFERROR(I173/F173*1000,"")</f>
        <v/>
      </c>
      <c r="N173" s="32" t="str">
        <f aca="false">IF(G173="","",IF(G173&gt;=0.5,"PASS","FIX HOOK"))</f>
        <v/>
      </c>
    </row>
    <row r="174" customFormat="false" ht="15" hidden="false" customHeight="false" outlineLevel="0" collapsed="false">
      <c r="A174" s="33"/>
      <c r="B174" s="33"/>
      <c r="C174" s="33"/>
      <c r="D174" s="33"/>
      <c r="E174" s="33"/>
      <c r="F174" s="34"/>
      <c r="G174" s="35"/>
      <c r="H174" s="34"/>
      <c r="I174" s="34"/>
      <c r="J174" s="34"/>
      <c r="K174" s="34"/>
      <c r="L174" s="31" t="str">
        <f aca="false">IFERROR(H174/F174*1000,"")</f>
        <v/>
      </c>
      <c r="M174" s="31" t="str">
        <f aca="false">IFERROR(I174/F174*1000,"")</f>
        <v/>
      </c>
      <c r="N174" s="32" t="str">
        <f aca="false">IF(G174="","",IF(G174&gt;=0.5,"PASS","FIX HOOK"))</f>
        <v/>
      </c>
    </row>
    <row r="175" customFormat="false" ht="15" hidden="false" customHeight="false" outlineLevel="0" collapsed="false">
      <c r="A175" s="33"/>
      <c r="B175" s="33"/>
      <c r="C175" s="33"/>
      <c r="D175" s="33"/>
      <c r="E175" s="33"/>
      <c r="F175" s="34"/>
      <c r="G175" s="35"/>
      <c r="H175" s="34"/>
      <c r="I175" s="34"/>
      <c r="J175" s="34"/>
      <c r="K175" s="34"/>
      <c r="L175" s="31" t="str">
        <f aca="false">IFERROR(H175/F175*1000,"")</f>
        <v/>
      </c>
      <c r="M175" s="31" t="str">
        <f aca="false">IFERROR(I175/F175*1000,"")</f>
        <v/>
      </c>
      <c r="N175" s="32" t="str">
        <f aca="false">IF(G175="","",IF(G175&gt;=0.5,"PASS","FIX HOOK"))</f>
        <v/>
      </c>
    </row>
    <row r="176" customFormat="false" ht="15" hidden="false" customHeight="false" outlineLevel="0" collapsed="false">
      <c r="A176" s="33"/>
      <c r="B176" s="33"/>
      <c r="C176" s="33"/>
      <c r="D176" s="33"/>
      <c r="E176" s="33"/>
      <c r="F176" s="34"/>
      <c r="G176" s="35"/>
      <c r="H176" s="34"/>
      <c r="I176" s="34"/>
      <c r="J176" s="34"/>
      <c r="K176" s="34"/>
      <c r="L176" s="31" t="str">
        <f aca="false">IFERROR(H176/F176*1000,"")</f>
        <v/>
      </c>
      <c r="M176" s="31" t="str">
        <f aca="false">IFERROR(I176/F176*1000,"")</f>
        <v/>
      </c>
      <c r="N176" s="32" t="str">
        <f aca="false">IF(G176="","",IF(G176&gt;=0.5,"PASS","FIX HOOK"))</f>
        <v/>
      </c>
    </row>
    <row r="177" customFormat="false" ht="15" hidden="false" customHeight="false" outlineLevel="0" collapsed="false">
      <c r="A177" s="33"/>
      <c r="B177" s="33"/>
      <c r="C177" s="33"/>
      <c r="D177" s="33"/>
      <c r="E177" s="33"/>
      <c r="F177" s="34"/>
      <c r="G177" s="35"/>
      <c r="H177" s="34"/>
      <c r="I177" s="34"/>
      <c r="J177" s="34"/>
      <c r="K177" s="34"/>
      <c r="L177" s="31" t="str">
        <f aca="false">IFERROR(H177/F177*1000,"")</f>
        <v/>
      </c>
      <c r="M177" s="31" t="str">
        <f aca="false">IFERROR(I177/F177*1000,"")</f>
        <v/>
      </c>
      <c r="N177" s="32" t="str">
        <f aca="false">IF(G177="","",IF(G177&gt;=0.5,"PASS","FIX HOOK"))</f>
        <v/>
      </c>
    </row>
    <row r="178" customFormat="false" ht="15" hidden="false" customHeight="false" outlineLevel="0" collapsed="false">
      <c r="A178" s="33"/>
      <c r="B178" s="33"/>
      <c r="C178" s="33"/>
      <c r="D178" s="33"/>
      <c r="E178" s="33"/>
      <c r="F178" s="34"/>
      <c r="G178" s="35"/>
      <c r="H178" s="34"/>
      <c r="I178" s="34"/>
      <c r="J178" s="34"/>
      <c r="K178" s="34"/>
      <c r="L178" s="31" t="str">
        <f aca="false">IFERROR(H178/F178*1000,"")</f>
        <v/>
      </c>
      <c r="M178" s="31" t="str">
        <f aca="false">IFERROR(I178/F178*1000,"")</f>
        <v/>
      </c>
      <c r="N178" s="32" t="str">
        <f aca="false">IF(G178="","",IF(G178&gt;=0.5,"PASS","FIX HOOK"))</f>
        <v/>
      </c>
    </row>
    <row r="179" customFormat="false" ht="15" hidden="false" customHeight="false" outlineLevel="0" collapsed="false">
      <c r="A179" s="33"/>
      <c r="B179" s="33"/>
      <c r="C179" s="33"/>
      <c r="D179" s="33"/>
      <c r="E179" s="33"/>
      <c r="F179" s="34"/>
      <c r="G179" s="35"/>
      <c r="H179" s="34"/>
      <c r="I179" s="34"/>
      <c r="J179" s="34"/>
      <c r="K179" s="34"/>
      <c r="L179" s="31" t="str">
        <f aca="false">IFERROR(H179/F179*1000,"")</f>
        <v/>
      </c>
      <c r="M179" s="31" t="str">
        <f aca="false">IFERROR(I179/F179*1000,"")</f>
        <v/>
      </c>
      <c r="N179" s="32" t="str">
        <f aca="false">IF(G179="","",IF(G179&gt;=0.5,"PASS","FIX HOOK"))</f>
        <v/>
      </c>
    </row>
    <row r="180" customFormat="false" ht="15" hidden="false" customHeight="false" outlineLevel="0" collapsed="false">
      <c r="A180" s="33"/>
      <c r="B180" s="33"/>
      <c r="C180" s="33"/>
      <c r="D180" s="33"/>
      <c r="E180" s="33"/>
      <c r="F180" s="34"/>
      <c r="G180" s="35"/>
      <c r="H180" s="34"/>
      <c r="I180" s="34"/>
      <c r="J180" s="34"/>
      <c r="K180" s="34"/>
      <c r="L180" s="31" t="str">
        <f aca="false">IFERROR(H180/F180*1000,"")</f>
        <v/>
      </c>
      <c r="M180" s="31" t="str">
        <f aca="false">IFERROR(I180/F180*1000,"")</f>
        <v/>
      </c>
      <c r="N180" s="32" t="str">
        <f aca="false">IF(G180="","",IF(G180&gt;=0.5,"PASS","FIX HOOK"))</f>
        <v/>
      </c>
    </row>
    <row r="181" customFormat="false" ht="15" hidden="false" customHeight="false" outlineLevel="0" collapsed="false">
      <c r="A181" s="33"/>
      <c r="B181" s="33"/>
      <c r="C181" s="33"/>
      <c r="D181" s="33"/>
      <c r="E181" s="33"/>
      <c r="F181" s="34"/>
      <c r="G181" s="35"/>
      <c r="H181" s="34"/>
      <c r="I181" s="34"/>
      <c r="J181" s="34"/>
      <c r="K181" s="34"/>
      <c r="L181" s="31" t="str">
        <f aca="false">IFERROR(H181/F181*1000,"")</f>
        <v/>
      </c>
      <c r="M181" s="31" t="str">
        <f aca="false">IFERROR(I181/F181*1000,"")</f>
        <v/>
      </c>
      <c r="N181" s="32" t="str">
        <f aca="false">IF(G181="","",IF(G181&gt;=0.5,"PASS","FIX HOOK"))</f>
        <v/>
      </c>
    </row>
    <row r="182" customFormat="false" ht="15" hidden="false" customHeight="false" outlineLevel="0" collapsed="false">
      <c r="A182" s="33"/>
      <c r="B182" s="33"/>
      <c r="C182" s="33"/>
      <c r="D182" s="33"/>
      <c r="E182" s="33"/>
      <c r="F182" s="34"/>
      <c r="G182" s="35"/>
      <c r="H182" s="34"/>
      <c r="I182" s="34"/>
      <c r="J182" s="34"/>
      <c r="K182" s="34"/>
      <c r="L182" s="31" t="str">
        <f aca="false">IFERROR(H182/F182*1000,"")</f>
        <v/>
      </c>
      <c r="M182" s="31" t="str">
        <f aca="false">IFERROR(I182/F182*1000,"")</f>
        <v/>
      </c>
      <c r="N182" s="32" t="str">
        <f aca="false">IF(G182="","",IF(G182&gt;=0.5,"PASS","FIX HOOK"))</f>
        <v/>
      </c>
    </row>
    <row r="183" customFormat="false" ht="15" hidden="false" customHeight="false" outlineLevel="0" collapsed="false">
      <c r="A183" s="33"/>
      <c r="B183" s="33"/>
      <c r="C183" s="33"/>
      <c r="D183" s="33"/>
      <c r="E183" s="33"/>
      <c r="F183" s="34"/>
      <c r="G183" s="35"/>
      <c r="H183" s="34"/>
      <c r="I183" s="34"/>
      <c r="J183" s="34"/>
      <c r="K183" s="34"/>
      <c r="L183" s="31" t="str">
        <f aca="false">IFERROR(H183/F183*1000,"")</f>
        <v/>
      </c>
      <c r="M183" s="31" t="str">
        <f aca="false">IFERROR(I183/F183*1000,"")</f>
        <v/>
      </c>
      <c r="N183" s="32" t="str">
        <f aca="false">IF(G183="","",IF(G183&gt;=0.5,"PASS","FIX HOOK"))</f>
        <v/>
      </c>
    </row>
    <row r="184" customFormat="false" ht="15" hidden="false" customHeight="false" outlineLevel="0" collapsed="false">
      <c r="A184" s="33"/>
      <c r="B184" s="33"/>
      <c r="C184" s="33"/>
      <c r="D184" s="33"/>
      <c r="E184" s="33"/>
      <c r="F184" s="34"/>
      <c r="G184" s="35"/>
      <c r="H184" s="34"/>
      <c r="I184" s="34"/>
      <c r="J184" s="34"/>
      <c r="K184" s="34"/>
      <c r="L184" s="31" t="str">
        <f aca="false">IFERROR(H184/F184*1000,"")</f>
        <v/>
      </c>
      <c r="M184" s="31" t="str">
        <f aca="false">IFERROR(I184/F184*1000,"")</f>
        <v/>
      </c>
      <c r="N184" s="32" t="str">
        <f aca="false">IF(G184="","",IF(G184&gt;=0.5,"PASS","FIX HOOK"))</f>
        <v/>
      </c>
    </row>
    <row r="185" customFormat="false" ht="15" hidden="false" customHeight="false" outlineLevel="0" collapsed="false">
      <c r="A185" s="33"/>
      <c r="B185" s="33"/>
      <c r="C185" s="33"/>
      <c r="D185" s="33"/>
      <c r="E185" s="33"/>
      <c r="F185" s="34"/>
      <c r="G185" s="35"/>
      <c r="H185" s="34"/>
      <c r="I185" s="34"/>
      <c r="J185" s="34"/>
      <c r="K185" s="34"/>
      <c r="L185" s="31" t="str">
        <f aca="false">IFERROR(H185/F185*1000,"")</f>
        <v/>
      </c>
      <c r="M185" s="31" t="str">
        <f aca="false">IFERROR(I185/F185*1000,"")</f>
        <v/>
      </c>
      <c r="N185" s="32" t="str">
        <f aca="false">IF(G185="","",IF(G185&gt;=0.5,"PASS","FIX HOOK"))</f>
        <v/>
      </c>
    </row>
    <row r="186" customFormat="false" ht="15" hidden="false" customHeight="false" outlineLevel="0" collapsed="false">
      <c r="A186" s="33"/>
      <c r="B186" s="33"/>
      <c r="C186" s="33"/>
      <c r="D186" s="33"/>
      <c r="E186" s="33"/>
      <c r="F186" s="34"/>
      <c r="G186" s="35"/>
      <c r="H186" s="34"/>
      <c r="I186" s="34"/>
      <c r="J186" s="34"/>
      <c r="K186" s="34"/>
      <c r="L186" s="31" t="str">
        <f aca="false">IFERROR(H186/F186*1000,"")</f>
        <v/>
      </c>
      <c r="M186" s="31" t="str">
        <f aca="false">IFERROR(I186/F186*1000,"")</f>
        <v/>
      </c>
      <c r="N186" s="32" t="str">
        <f aca="false">IF(G186="","",IF(G186&gt;=0.5,"PASS","FIX HOOK"))</f>
        <v/>
      </c>
    </row>
    <row r="187" customFormat="false" ht="15" hidden="false" customHeight="false" outlineLevel="0" collapsed="false">
      <c r="A187" s="33"/>
      <c r="B187" s="33"/>
      <c r="C187" s="33"/>
      <c r="D187" s="33"/>
      <c r="E187" s="33"/>
      <c r="F187" s="34"/>
      <c r="G187" s="35"/>
      <c r="H187" s="34"/>
      <c r="I187" s="34"/>
      <c r="J187" s="34"/>
      <c r="K187" s="34"/>
      <c r="L187" s="31" t="str">
        <f aca="false">IFERROR(H187/F187*1000,"")</f>
        <v/>
      </c>
      <c r="M187" s="31" t="str">
        <f aca="false">IFERROR(I187/F187*1000,"")</f>
        <v/>
      </c>
      <c r="N187" s="32" t="str">
        <f aca="false">IF(G187="","",IF(G187&gt;=0.5,"PASS","FIX HOOK"))</f>
        <v/>
      </c>
    </row>
    <row r="188" customFormat="false" ht="15" hidden="false" customHeight="false" outlineLevel="0" collapsed="false">
      <c r="A188" s="33"/>
      <c r="B188" s="33"/>
      <c r="C188" s="33"/>
      <c r="D188" s="33"/>
      <c r="E188" s="33"/>
      <c r="F188" s="34"/>
      <c r="G188" s="35"/>
      <c r="H188" s="34"/>
      <c r="I188" s="34"/>
      <c r="J188" s="34"/>
      <c r="K188" s="34"/>
      <c r="L188" s="31" t="str">
        <f aca="false">IFERROR(H188/F188*1000,"")</f>
        <v/>
      </c>
      <c r="M188" s="31" t="str">
        <f aca="false">IFERROR(I188/F188*1000,"")</f>
        <v/>
      </c>
      <c r="N188" s="32" t="str">
        <f aca="false">IF(G188="","",IF(G188&gt;=0.5,"PASS","FIX HOOK"))</f>
        <v/>
      </c>
    </row>
    <row r="189" customFormat="false" ht="15" hidden="false" customHeight="false" outlineLevel="0" collapsed="false">
      <c r="A189" s="33"/>
      <c r="B189" s="33"/>
      <c r="C189" s="33"/>
      <c r="D189" s="33"/>
      <c r="E189" s="33"/>
      <c r="F189" s="34"/>
      <c r="G189" s="35"/>
      <c r="H189" s="34"/>
      <c r="I189" s="34"/>
      <c r="J189" s="34"/>
      <c r="K189" s="34"/>
      <c r="L189" s="31" t="str">
        <f aca="false">IFERROR(H189/F189*1000,"")</f>
        <v/>
      </c>
      <c r="M189" s="31" t="str">
        <f aca="false">IFERROR(I189/F189*1000,"")</f>
        <v/>
      </c>
      <c r="N189" s="32" t="str">
        <f aca="false">IF(G189="","",IF(G189&gt;=0.5,"PASS","FIX HOOK"))</f>
        <v/>
      </c>
    </row>
    <row r="190" customFormat="false" ht="15" hidden="false" customHeight="false" outlineLevel="0" collapsed="false">
      <c r="A190" s="33"/>
      <c r="B190" s="33"/>
      <c r="C190" s="33"/>
      <c r="D190" s="33"/>
      <c r="E190" s="33"/>
      <c r="F190" s="34"/>
      <c r="G190" s="35"/>
      <c r="H190" s="34"/>
      <c r="I190" s="34"/>
      <c r="J190" s="34"/>
      <c r="K190" s="34"/>
      <c r="L190" s="31" t="str">
        <f aca="false">IFERROR(H190/F190*1000,"")</f>
        <v/>
      </c>
      <c r="M190" s="31" t="str">
        <f aca="false">IFERROR(I190/F190*1000,"")</f>
        <v/>
      </c>
      <c r="N190" s="32" t="str">
        <f aca="false">IF(G190="","",IF(G190&gt;=0.5,"PASS","FIX HOOK"))</f>
        <v/>
      </c>
    </row>
    <row r="191" customFormat="false" ht="15" hidden="false" customHeight="false" outlineLevel="0" collapsed="false">
      <c r="A191" s="33"/>
      <c r="B191" s="33"/>
      <c r="C191" s="33"/>
      <c r="D191" s="33"/>
      <c r="E191" s="33"/>
      <c r="F191" s="34"/>
      <c r="G191" s="35"/>
      <c r="H191" s="34"/>
      <c r="I191" s="34"/>
      <c r="J191" s="34"/>
      <c r="K191" s="34"/>
      <c r="L191" s="31" t="str">
        <f aca="false">IFERROR(H191/F191*1000,"")</f>
        <v/>
      </c>
      <c r="M191" s="31" t="str">
        <f aca="false">IFERROR(I191/F191*1000,"")</f>
        <v/>
      </c>
      <c r="N191" s="32" t="str">
        <f aca="false">IF(G191="","",IF(G191&gt;=0.5,"PASS","FIX HOOK"))</f>
        <v/>
      </c>
    </row>
    <row r="192" customFormat="false" ht="15" hidden="false" customHeight="false" outlineLevel="0" collapsed="false">
      <c r="A192" s="33"/>
      <c r="B192" s="33"/>
      <c r="C192" s="33"/>
      <c r="D192" s="33"/>
      <c r="E192" s="33"/>
      <c r="F192" s="34"/>
      <c r="G192" s="35"/>
      <c r="H192" s="34"/>
      <c r="I192" s="34"/>
      <c r="J192" s="34"/>
      <c r="K192" s="34"/>
      <c r="L192" s="31" t="str">
        <f aca="false">IFERROR(H192/F192*1000,"")</f>
        <v/>
      </c>
      <c r="M192" s="31" t="str">
        <f aca="false">IFERROR(I192/F192*1000,"")</f>
        <v/>
      </c>
      <c r="N192" s="32" t="str">
        <f aca="false">IF(G192="","",IF(G192&gt;=0.5,"PASS","FIX HOOK"))</f>
        <v/>
      </c>
    </row>
    <row r="193" customFormat="false" ht="15" hidden="false" customHeight="false" outlineLevel="0" collapsed="false">
      <c r="A193" s="33"/>
      <c r="B193" s="33"/>
      <c r="C193" s="33"/>
      <c r="D193" s="33"/>
      <c r="E193" s="33"/>
      <c r="F193" s="34"/>
      <c r="G193" s="35"/>
      <c r="H193" s="34"/>
      <c r="I193" s="34"/>
      <c r="J193" s="34"/>
      <c r="K193" s="34"/>
      <c r="L193" s="31" t="str">
        <f aca="false">IFERROR(H193/F193*1000,"")</f>
        <v/>
      </c>
      <c r="M193" s="31" t="str">
        <f aca="false">IFERROR(I193/F193*1000,"")</f>
        <v/>
      </c>
      <c r="N193" s="32" t="str">
        <f aca="false">IF(G193="","",IF(G193&gt;=0.5,"PASS","FIX HOOK"))</f>
        <v/>
      </c>
    </row>
    <row r="194" customFormat="false" ht="15" hidden="false" customHeight="false" outlineLevel="0" collapsed="false">
      <c r="A194" s="33"/>
      <c r="B194" s="33"/>
      <c r="C194" s="33"/>
      <c r="D194" s="33"/>
      <c r="E194" s="33"/>
      <c r="F194" s="34"/>
      <c r="G194" s="35"/>
      <c r="H194" s="34"/>
      <c r="I194" s="34"/>
      <c r="J194" s="34"/>
      <c r="K194" s="34"/>
      <c r="L194" s="31" t="str">
        <f aca="false">IFERROR(H194/F194*1000,"")</f>
        <v/>
      </c>
      <c r="M194" s="31" t="str">
        <f aca="false">IFERROR(I194/F194*1000,"")</f>
        <v/>
      </c>
      <c r="N194" s="32" t="str">
        <f aca="false">IF(G194="","",IF(G194&gt;=0.5,"PASS","FIX HOOK"))</f>
        <v/>
      </c>
    </row>
    <row r="195" customFormat="false" ht="15" hidden="false" customHeight="false" outlineLevel="0" collapsed="false">
      <c r="A195" s="33"/>
      <c r="B195" s="33"/>
      <c r="C195" s="33"/>
      <c r="D195" s="33"/>
      <c r="E195" s="33"/>
      <c r="F195" s="34"/>
      <c r="G195" s="35"/>
      <c r="H195" s="34"/>
      <c r="I195" s="34"/>
      <c r="J195" s="34"/>
      <c r="K195" s="34"/>
      <c r="L195" s="31" t="str">
        <f aca="false">IFERROR(H195/F195*1000,"")</f>
        <v/>
      </c>
      <c r="M195" s="31" t="str">
        <f aca="false">IFERROR(I195/F195*1000,"")</f>
        <v/>
      </c>
      <c r="N195" s="32" t="str">
        <f aca="false">IF(G195="","",IF(G195&gt;=0.5,"PASS","FIX HOOK"))</f>
        <v/>
      </c>
    </row>
    <row r="196" customFormat="false" ht="15" hidden="false" customHeight="false" outlineLevel="0" collapsed="false">
      <c r="A196" s="33"/>
      <c r="B196" s="33"/>
      <c r="C196" s="33"/>
      <c r="D196" s="33"/>
      <c r="E196" s="33"/>
      <c r="F196" s="34"/>
      <c r="G196" s="35"/>
      <c r="H196" s="34"/>
      <c r="I196" s="34"/>
      <c r="J196" s="34"/>
      <c r="K196" s="34"/>
      <c r="L196" s="31" t="str">
        <f aca="false">IFERROR(H196/F196*1000,"")</f>
        <v/>
      </c>
      <c r="M196" s="31" t="str">
        <f aca="false">IFERROR(I196/F196*1000,"")</f>
        <v/>
      </c>
      <c r="N196" s="32" t="str">
        <f aca="false">IF(G196="","",IF(G196&gt;=0.5,"PASS","FIX HOOK"))</f>
        <v/>
      </c>
    </row>
    <row r="197" customFormat="false" ht="15" hidden="false" customHeight="false" outlineLevel="0" collapsed="false">
      <c r="A197" s="33"/>
      <c r="B197" s="33"/>
      <c r="C197" s="33"/>
      <c r="D197" s="33"/>
      <c r="E197" s="33"/>
      <c r="F197" s="34"/>
      <c r="G197" s="35"/>
      <c r="H197" s="34"/>
      <c r="I197" s="34"/>
      <c r="J197" s="34"/>
      <c r="K197" s="34"/>
      <c r="L197" s="31" t="str">
        <f aca="false">IFERROR(H197/F197*1000,"")</f>
        <v/>
      </c>
      <c r="M197" s="31" t="str">
        <f aca="false">IFERROR(I197/F197*1000,"")</f>
        <v/>
      </c>
      <c r="N197" s="32" t="str">
        <f aca="false">IF(G197="","",IF(G197&gt;=0.5,"PASS","FIX HOOK"))</f>
        <v/>
      </c>
    </row>
    <row r="198" customFormat="false" ht="15" hidden="false" customHeight="false" outlineLevel="0" collapsed="false">
      <c r="A198" s="33"/>
      <c r="B198" s="33"/>
      <c r="C198" s="33"/>
      <c r="D198" s="33"/>
      <c r="E198" s="33"/>
      <c r="F198" s="34"/>
      <c r="G198" s="35"/>
      <c r="H198" s="34"/>
      <c r="I198" s="34"/>
      <c r="J198" s="34"/>
      <c r="K198" s="34"/>
      <c r="L198" s="31" t="str">
        <f aca="false">IFERROR(H198/F198*1000,"")</f>
        <v/>
      </c>
      <c r="M198" s="31" t="str">
        <f aca="false">IFERROR(I198/F198*1000,"")</f>
        <v/>
      </c>
      <c r="N198" s="32" t="str">
        <f aca="false">IF(G198="","",IF(G198&gt;=0.5,"PASS","FIX HOOK"))</f>
        <v/>
      </c>
    </row>
    <row r="199" customFormat="false" ht="15" hidden="false" customHeight="false" outlineLevel="0" collapsed="false">
      <c r="A199" s="33"/>
      <c r="B199" s="33"/>
      <c r="C199" s="33"/>
      <c r="D199" s="33"/>
      <c r="E199" s="33"/>
      <c r="F199" s="34"/>
      <c r="G199" s="35"/>
      <c r="H199" s="34"/>
      <c r="I199" s="34"/>
      <c r="J199" s="34"/>
      <c r="K199" s="34"/>
      <c r="L199" s="31" t="str">
        <f aca="false">IFERROR(H199/F199*1000,"")</f>
        <v/>
      </c>
      <c r="M199" s="31" t="str">
        <f aca="false">IFERROR(I199/F199*1000,"")</f>
        <v/>
      </c>
      <c r="N199" s="32" t="str">
        <f aca="false">IF(G199="","",IF(G199&gt;=0.5,"PASS","FIX HOOK"))</f>
        <v/>
      </c>
    </row>
    <row r="200" customFormat="false" ht="15" hidden="false" customHeight="false" outlineLevel="0" collapsed="false">
      <c r="A200" s="33"/>
      <c r="B200" s="33"/>
      <c r="C200" s="33"/>
      <c r="D200" s="33"/>
      <c r="E200" s="33"/>
      <c r="F200" s="34"/>
      <c r="G200" s="35"/>
      <c r="H200" s="34"/>
      <c r="I200" s="34"/>
      <c r="J200" s="34"/>
      <c r="K200" s="34"/>
      <c r="L200" s="31" t="str">
        <f aca="false">IFERROR(H200/F200*1000,"")</f>
        <v/>
      </c>
      <c r="M200" s="31" t="str">
        <f aca="false">IFERROR(I200/F200*1000,"")</f>
        <v/>
      </c>
      <c r="N200" s="32" t="str">
        <f aca="false">IF(G200="","",IF(G200&gt;=0.5,"PASS","FIX HOOK"))</f>
        <v/>
      </c>
    </row>
    <row r="201" customFormat="false" ht="15" hidden="false" customHeight="false" outlineLevel="0" collapsed="false">
      <c r="A201" s="33"/>
      <c r="B201" s="33"/>
      <c r="C201" s="33"/>
      <c r="D201" s="33"/>
      <c r="E201" s="33"/>
      <c r="F201" s="34"/>
      <c r="G201" s="35"/>
      <c r="H201" s="34"/>
      <c r="I201" s="34"/>
      <c r="J201" s="34"/>
      <c r="K201" s="34"/>
      <c r="L201" s="31" t="str">
        <f aca="false">IFERROR(H201/F201*1000,"")</f>
        <v/>
      </c>
      <c r="M201" s="31" t="str">
        <f aca="false">IFERROR(I201/F201*1000,"")</f>
        <v/>
      </c>
      <c r="N201" s="32" t="str">
        <f aca="false">IF(G201="","",IF(G201&gt;=0.5,"PASS","FIX HOOK"))</f>
        <v/>
      </c>
    </row>
    <row r="202" customFormat="false" ht="15" hidden="false" customHeight="false" outlineLevel="0" collapsed="false">
      <c r="A202" s="33"/>
      <c r="B202" s="33"/>
      <c r="C202" s="33"/>
      <c r="D202" s="33"/>
      <c r="E202" s="33"/>
      <c r="F202" s="34"/>
      <c r="G202" s="35"/>
      <c r="H202" s="34"/>
      <c r="I202" s="34"/>
      <c r="J202" s="34"/>
      <c r="K202" s="34"/>
      <c r="L202" s="31" t="str">
        <f aca="false">IFERROR(H202/F202*1000,"")</f>
        <v/>
      </c>
      <c r="M202" s="31" t="str">
        <f aca="false">IFERROR(I202/F202*1000,"")</f>
        <v/>
      </c>
      <c r="N202" s="32" t="str">
        <f aca="false">IF(G202="","",IF(G202&gt;=0.5,"PASS","FIX HOOK"))</f>
        <v/>
      </c>
    </row>
    <row r="203" customFormat="false" ht="15" hidden="false" customHeight="false" outlineLevel="0" collapsed="false">
      <c r="A203" s="33"/>
      <c r="B203" s="33"/>
      <c r="C203" s="33"/>
      <c r="D203" s="33"/>
      <c r="E203" s="33"/>
      <c r="F203" s="34"/>
      <c r="G203" s="35"/>
      <c r="H203" s="34"/>
      <c r="I203" s="34"/>
      <c r="J203" s="34"/>
      <c r="K203" s="34"/>
      <c r="L203" s="31" t="str">
        <f aca="false">IFERROR(H203/F203*1000,"")</f>
        <v/>
      </c>
      <c r="M203" s="31" t="str">
        <f aca="false">IFERROR(I203/F203*1000,"")</f>
        <v/>
      </c>
      <c r="N203" s="32" t="str">
        <f aca="false">IF(G203="","",IF(G203&gt;=0.5,"PASS","FIX HOOK"))</f>
        <v/>
      </c>
    </row>
    <row r="204" customFormat="false" ht="15" hidden="false" customHeight="false" outlineLevel="0" collapsed="false">
      <c r="A204" s="33"/>
      <c r="B204" s="33"/>
      <c r="C204" s="33"/>
      <c r="D204" s="33"/>
      <c r="E204" s="33"/>
      <c r="F204" s="34"/>
      <c r="G204" s="35"/>
      <c r="H204" s="34"/>
      <c r="I204" s="34"/>
      <c r="J204" s="34"/>
      <c r="K204" s="34"/>
      <c r="L204" s="31" t="str">
        <f aca="false">IFERROR(H204/F204*1000,"")</f>
        <v/>
      </c>
      <c r="M204" s="31" t="str">
        <f aca="false">IFERROR(I204/F204*1000,"")</f>
        <v/>
      </c>
      <c r="N204" s="32" t="str">
        <f aca="false">IF(G204="","",IF(G204&gt;=0.5,"PASS","FIX HOOK"))</f>
        <v/>
      </c>
    </row>
    <row r="205" customFormat="false" ht="15" hidden="false" customHeight="false" outlineLevel="0" collapsed="false">
      <c r="A205" s="33"/>
      <c r="B205" s="33"/>
      <c r="C205" s="33"/>
      <c r="D205" s="33"/>
      <c r="E205" s="33"/>
      <c r="F205" s="34"/>
      <c r="G205" s="35"/>
      <c r="H205" s="34"/>
      <c r="I205" s="34"/>
      <c r="J205" s="34"/>
      <c r="K205" s="34"/>
      <c r="L205" s="31" t="str">
        <f aca="false">IFERROR(H205/F205*1000,"")</f>
        <v/>
      </c>
      <c r="M205" s="31" t="str">
        <f aca="false">IFERROR(I205/F205*1000,"")</f>
        <v/>
      </c>
      <c r="N205" s="32" t="str">
        <f aca="false">IF(G205="","",IF(G205&gt;=0.5,"PASS","FIX HOOK"))</f>
        <v/>
      </c>
    </row>
    <row r="206" customFormat="false" ht="15" hidden="false" customHeight="false" outlineLevel="0" collapsed="false">
      <c r="A206" s="33"/>
      <c r="B206" s="33"/>
      <c r="C206" s="33"/>
      <c r="D206" s="33"/>
      <c r="E206" s="33"/>
      <c r="F206" s="34"/>
      <c r="G206" s="35"/>
      <c r="H206" s="34"/>
      <c r="I206" s="34"/>
      <c r="J206" s="34"/>
      <c r="K206" s="34"/>
      <c r="L206" s="31" t="str">
        <f aca="false">IFERROR(H206/F206*1000,"")</f>
        <v/>
      </c>
      <c r="M206" s="31" t="str">
        <f aca="false">IFERROR(I206/F206*1000,"")</f>
        <v/>
      </c>
      <c r="N206" s="32" t="str">
        <f aca="false">IF(G206="","",IF(G206&gt;=0.5,"PASS","FIX HOOK"))</f>
        <v/>
      </c>
    </row>
    <row r="207" customFormat="false" ht="15" hidden="false" customHeight="false" outlineLevel="0" collapsed="false">
      <c r="A207" s="33"/>
      <c r="B207" s="33"/>
      <c r="C207" s="33"/>
      <c r="D207" s="33"/>
      <c r="E207" s="33"/>
      <c r="F207" s="34"/>
      <c r="G207" s="35"/>
      <c r="H207" s="34"/>
      <c r="I207" s="34"/>
      <c r="J207" s="34"/>
      <c r="K207" s="34"/>
      <c r="L207" s="31" t="str">
        <f aca="false">IFERROR(H207/F207*1000,"")</f>
        <v/>
      </c>
      <c r="M207" s="31" t="str">
        <f aca="false">IFERROR(I207/F207*1000,"")</f>
        <v/>
      </c>
      <c r="N207" s="32" t="str">
        <f aca="false">IF(G207="","",IF(G207&gt;=0.5,"PASS","FIX HOOK"))</f>
        <v/>
      </c>
    </row>
    <row r="208" customFormat="false" ht="15" hidden="false" customHeight="false" outlineLevel="0" collapsed="false">
      <c r="A208" s="33"/>
      <c r="B208" s="33"/>
      <c r="C208" s="33"/>
      <c r="D208" s="33"/>
      <c r="E208" s="33"/>
      <c r="F208" s="34"/>
      <c r="G208" s="35"/>
      <c r="H208" s="34"/>
      <c r="I208" s="34"/>
      <c r="J208" s="34"/>
      <c r="K208" s="34"/>
      <c r="L208" s="31" t="str">
        <f aca="false">IFERROR(H208/F208*1000,"")</f>
        <v/>
      </c>
      <c r="M208" s="31" t="str">
        <f aca="false">IFERROR(I208/F208*1000,"")</f>
        <v/>
      </c>
      <c r="N208" s="32" t="str">
        <f aca="false">IF(G208="","",IF(G208&gt;=0.5,"PASS","FIX HOOK"))</f>
        <v/>
      </c>
    </row>
    <row r="209" customFormat="false" ht="15" hidden="false" customHeight="false" outlineLevel="0" collapsed="false">
      <c r="A209" s="33"/>
      <c r="B209" s="33"/>
      <c r="C209" s="33"/>
      <c r="D209" s="33"/>
      <c r="E209" s="33"/>
      <c r="F209" s="34"/>
      <c r="G209" s="35"/>
      <c r="H209" s="34"/>
      <c r="I209" s="34"/>
      <c r="J209" s="34"/>
      <c r="K209" s="34"/>
      <c r="L209" s="31" t="str">
        <f aca="false">IFERROR(H209/F209*1000,"")</f>
        <v/>
      </c>
      <c r="M209" s="31" t="str">
        <f aca="false">IFERROR(I209/F209*1000,"")</f>
        <v/>
      </c>
      <c r="N209" s="32" t="str">
        <f aca="false">IF(G209="","",IF(G209&gt;=0.5,"PASS","FIX HOOK"))</f>
        <v/>
      </c>
    </row>
    <row r="210" customFormat="false" ht="15" hidden="false" customHeight="false" outlineLevel="0" collapsed="false">
      <c r="A210" s="33"/>
      <c r="B210" s="33"/>
      <c r="C210" s="33"/>
      <c r="D210" s="33"/>
      <c r="E210" s="33"/>
      <c r="F210" s="34"/>
      <c r="G210" s="35"/>
      <c r="H210" s="34"/>
      <c r="I210" s="34"/>
      <c r="J210" s="34"/>
      <c r="K210" s="34"/>
      <c r="L210" s="31" t="str">
        <f aca="false">IFERROR(H210/F210*1000,"")</f>
        <v/>
      </c>
      <c r="M210" s="31" t="str">
        <f aca="false">IFERROR(I210/F210*1000,"")</f>
        <v/>
      </c>
      <c r="N210" s="32" t="str">
        <f aca="false">IF(G210="","",IF(G210&gt;=0.5,"PASS","FIX HOOK"))</f>
        <v/>
      </c>
    </row>
    <row r="211" customFormat="false" ht="15" hidden="false" customHeight="false" outlineLevel="0" collapsed="false">
      <c r="A211" s="33"/>
      <c r="B211" s="33"/>
      <c r="C211" s="33"/>
      <c r="D211" s="33"/>
      <c r="E211" s="33"/>
      <c r="F211" s="34"/>
      <c r="G211" s="35"/>
      <c r="H211" s="34"/>
      <c r="I211" s="34"/>
      <c r="J211" s="34"/>
      <c r="K211" s="34"/>
      <c r="L211" s="31" t="str">
        <f aca="false">IFERROR(H211/F211*1000,"")</f>
        <v/>
      </c>
      <c r="M211" s="31" t="str">
        <f aca="false">IFERROR(I211/F211*1000,"")</f>
        <v/>
      </c>
      <c r="N211" s="32" t="str">
        <f aca="false">IF(G211="","",IF(G211&gt;=0.5,"PASS","FIX HOOK"))</f>
        <v/>
      </c>
    </row>
    <row r="212" customFormat="false" ht="15" hidden="false" customHeight="false" outlineLevel="0" collapsed="false">
      <c r="A212" s="33"/>
      <c r="B212" s="33"/>
      <c r="C212" s="33"/>
      <c r="D212" s="33"/>
      <c r="E212" s="33"/>
      <c r="F212" s="34"/>
      <c r="G212" s="35"/>
      <c r="H212" s="34"/>
      <c r="I212" s="34"/>
      <c r="J212" s="34"/>
      <c r="K212" s="34"/>
      <c r="L212" s="31" t="str">
        <f aca="false">IFERROR(H212/F212*1000,"")</f>
        <v/>
      </c>
      <c r="M212" s="31" t="str">
        <f aca="false">IFERROR(I212/F212*1000,"")</f>
        <v/>
      </c>
      <c r="N212" s="32" t="str">
        <f aca="false">IF(G212="","",IF(G212&gt;=0.5,"PASS","FIX HOOK"))</f>
        <v/>
      </c>
    </row>
    <row r="213" customFormat="false" ht="15" hidden="false" customHeight="false" outlineLevel="0" collapsed="false">
      <c r="A213" s="33"/>
      <c r="B213" s="33"/>
      <c r="C213" s="33"/>
      <c r="D213" s="33"/>
      <c r="E213" s="33"/>
      <c r="F213" s="34"/>
      <c r="G213" s="35"/>
      <c r="H213" s="34"/>
      <c r="I213" s="34"/>
      <c r="J213" s="34"/>
      <c r="K213" s="34"/>
      <c r="L213" s="31" t="str">
        <f aca="false">IFERROR(H213/F213*1000,"")</f>
        <v/>
      </c>
      <c r="M213" s="31" t="str">
        <f aca="false">IFERROR(I213/F213*1000,"")</f>
        <v/>
      </c>
      <c r="N213" s="32" t="str">
        <f aca="false">IF(G213="","",IF(G213&gt;=0.5,"PASS","FIX HOOK"))</f>
        <v/>
      </c>
    </row>
    <row r="214" customFormat="false" ht="15" hidden="false" customHeight="false" outlineLevel="0" collapsed="false">
      <c r="A214" s="33"/>
      <c r="B214" s="33"/>
      <c r="C214" s="33"/>
      <c r="D214" s="33"/>
      <c r="E214" s="33"/>
      <c r="F214" s="34"/>
      <c r="G214" s="35"/>
      <c r="H214" s="34"/>
      <c r="I214" s="34"/>
      <c r="J214" s="34"/>
      <c r="K214" s="34"/>
      <c r="L214" s="31" t="str">
        <f aca="false">IFERROR(H214/F214*1000,"")</f>
        <v/>
      </c>
      <c r="M214" s="31" t="str">
        <f aca="false">IFERROR(I214/F214*1000,"")</f>
        <v/>
      </c>
      <c r="N214" s="32" t="str">
        <f aca="false">IF(G214="","",IF(G214&gt;=0.5,"PASS","FIX HOOK"))</f>
        <v/>
      </c>
    </row>
    <row r="215" customFormat="false" ht="15" hidden="false" customHeight="false" outlineLevel="0" collapsed="false">
      <c r="A215" s="33"/>
      <c r="B215" s="33"/>
      <c r="C215" s="33"/>
      <c r="D215" s="33"/>
      <c r="E215" s="33"/>
      <c r="F215" s="34"/>
      <c r="G215" s="35"/>
      <c r="H215" s="34"/>
      <c r="I215" s="34"/>
      <c r="J215" s="34"/>
      <c r="K215" s="34"/>
      <c r="L215" s="31" t="str">
        <f aca="false">IFERROR(H215/F215*1000,"")</f>
        <v/>
      </c>
      <c r="M215" s="31" t="str">
        <f aca="false">IFERROR(I215/F215*1000,"")</f>
        <v/>
      </c>
      <c r="N215" s="32" t="str">
        <f aca="false">IF(G215="","",IF(G215&gt;=0.5,"PASS","FIX HOOK"))</f>
        <v/>
      </c>
    </row>
    <row r="216" customFormat="false" ht="15" hidden="false" customHeight="false" outlineLevel="0" collapsed="false">
      <c r="A216" s="33"/>
      <c r="B216" s="33"/>
      <c r="C216" s="33"/>
      <c r="D216" s="33"/>
      <c r="E216" s="33"/>
      <c r="F216" s="34"/>
      <c r="G216" s="35"/>
      <c r="H216" s="34"/>
      <c r="I216" s="34"/>
      <c r="J216" s="34"/>
      <c r="K216" s="34"/>
      <c r="L216" s="31" t="str">
        <f aca="false">IFERROR(H216/F216*1000,"")</f>
        <v/>
      </c>
      <c r="M216" s="31" t="str">
        <f aca="false">IFERROR(I216/F216*1000,"")</f>
        <v/>
      </c>
      <c r="N216" s="32" t="str">
        <f aca="false">IF(G216="","",IF(G216&gt;=0.5,"PASS","FIX HOOK"))</f>
        <v/>
      </c>
    </row>
    <row r="217" customFormat="false" ht="15" hidden="false" customHeight="false" outlineLevel="0" collapsed="false">
      <c r="A217" s="33"/>
      <c r="B217" s="33"/>
      <c r="C217" s="33"/>
      <c r="D217" s="33"/>
      <c r="E217" s="33"/>
      <c r="F217" s="34"/>
      <c r="G217" s="35"/>
      <c r="H217" s="34"/>
      <c r="I217" s="34"/>
      <c r="J217" s="34"/>
      <c r="K217" s="34"/>
      <c r="L217" s="31" t="str">
        <f aca="false">IFERROR(H217/F217*1000,"")</f>
        <v/>
      </c>
      <c r="M217" s="31" t="str">
        <f aca="false">IFERROR(I217/F217*1000,"")</f>
        <v/>
      </c>
      <c r="N217" s="32" t="str">
        <f aca="false">IF(G217="","",IF(G217&gt;=0.5,"PASS","FIX HOOK"))</f>
        <v/>
      </c>
    </row>
    <row r="218" customFormat="false" ht="15" hidden="false" customHeight="false" outlineLevel="0" collapsed="false">
      <c r="A218" s="33"/>
      <c r="B218" s="33"/>
      <c r="C218" s="33"/>
      <c r="D218" s="33"/>
      <c r="E218" s="33"/>
      <c r="F218" s="34"/>
      <c r="G218" s="35"/>
      <c r="H218" s="34"/>
      <c r="I218" s="34"/>
      <c r="J218" s="34"/>
      <c r="K218" s="34"/>
      <c r="L218" s="31" t="str">
        <f aca="false">IFERROR(H218/F218*1000,"")</f>
        <v/>
      </c>
      <c r="M218" s="31" t="str">
        <f aca="false">IFERROR(I218/F218*1000,"")</f>
        <v/>
      </c>
      <c r="N218" s="32" t="str">
        <f aca="false">IF(G218="","",IF(G218&gt;=0.5,"PASS","FIX HOOK"))</f>
        <v/>
      </c>
    </row>
    <row r="219" customFormat="false" ht="15" hidden="false" customHeight="false" outlineLevel="0" collapsed="false">
      <c r="A219" s="33"/>
      <c r="B219" s="33"/>
      <c r="C219" s="33"/>
      <c r="D219" s="33"/>
      <c r="E219" s="33"/>
      <c r="F219" s="34"/>
      <c r="G219" s="35"/>
      <c r="H219" s="34"/>
      <c r="I219" s="34"/>
      <c r="J219" s="34"/>
      <c r="K219" s="34"/>
      <c r="L219" s="31" t="str">
        <f aca="false">IFERROR(H219/F219*1000,"")</f>
        <v/>
      </c>
      <c r="M219" s="31" t="str">
        <f aca="false">IFERROR(I219/F219*1000,"")</f>
        <v/>
      </c>
      <c r="N219" s="32" t="str">
        <f aca="false">IF(G219="","",IF(G219&gt;=0.5,"PASS","FIX HOOK"))</f>
        <v/>
      </c>
    </row>
    <row r="220" customFormat="false" ht="15" hidden="false" customHeight="false" outlineLevel="0" collapsed="false">
      <c r="A220" s="33"/>
      <c r="B220" s="33"/>
      <c r="C220" s="33"/>
      <c r="D220" s="33"/>
      <c r="E220" s="33"/>
      <c r="F220" s="34"/>
      <c r="G220" s="35"/>
      <c r="H220" s="34"/>
      <c r="I220" s="34"/>
      <c r="J220" s="34"/>
      <c r="K220" s="34"/>
      <c r="L220" s="31" t="str">
        <f aca="false">IFERROR(H220/F220*1000,"")</f>
        <v/>
      </c>
      <c r="M220" s="31" t="str">
        <f aca="false">IFERROR(I220/F220*1000,"")</f>
        <v/>
      </c>
      <c r="N220" s="32" t="str">
        <f aca="false">IF(G220="","",IF(G220&gt;=0.5,"PASS","FIX HOOK"))</f>
        <v/>
      </c>
    </row>
    <row r="221" customFormat="false" ht="15" hidden="false" customHeight="false" outlineLevel="0" collapsed="false">
      <c r="A221" s="33"/>
      <c r="B221" s="33"/>
      <c r="C221" s="33"/>
      <c r="D221" s="33"/>
      <c r="E221" s="33"/>
      <c r="F221" s="34"/>
      <c r="G221" s="35"/>
      <c r="H221" s="34"/>
      <c r="I221" s="34"/>
      <c r="J221" s="34"/>
      <c r="K221" s="34"/>
      <c r="L221" s="31" t="str">
        <f aca="false">IFERROR(H221/F221*1000,"")</f>
        <v/>
      </c>
      <c r="M221" s="31" t="str">
        <f aca="false">IFERROR(I221/F221*1000,"")</f>
        <v/>
      </c>
      <c r="N221" s="32" t="str">
        <f aca="false">IF(G221="","",IF(G221&gt;=0.5,"PASS","FIX HOOK"))</f>
        <v/>
      </c>
    </row>
    <row r="222" customFormat="false" ht="15" hidden="false" customHeight="false" outlineLevel="0" collapsed="false">
      <c r="A222" s="33"/>
      <c r="B222" s="33"/>
      <c r="C222" s="33"/>
      <c r="D222" s="33"/>
      <c r="E222" s="33"/>
      <c r="F222" s="34"/>
      <c r="G222" s="35"/>
      <c r="H222" s="34"/>
      <c r="I222" s="34"/>
      <c r="J222" s="34"/>
      <c r="K222" s="34"/>
      <c r="L222" s="31" t="str">
        <f aca="false">IFERROR(H222/F222*1000,"")</f>
        <v/>
      </c>
      <c r="M222" s="31" t="str">
        <f aca="false">IFERROR(I222/F222*1000,"")</f>
        <v/>
      </c>
      <c r="N222" s="32" t="str">
        <f aca="false">IF(G222="","",IF(G222&gt;=0.5,"PASS","FIX HOOK"))</f>
        <v/>
      </c>
    </row>
    <row r="223" customFormat="false" ht="15" hidden="false" customHeight="false" outlineLevel="0" collapsed="false">
      <c r="A223" s="33"/>
      <c r="B223" s="33"/>
      <c r="C223" s="33"/>
      <c r="D223" s="33"/>
      <c r="E223" s="33"/>
      <c r="F223" s="34"/>
      <c r="G223" s="35"/>
      <c r="H223" s="34"/>
      <c r="I223" s="34"/>
      <c r="J223" s="34"/>
      <c r="K223" s="34"/>
      <c r="L223" s="31" t="str">
        <f aca="false">IFERROR(H223/F223*1000,"")</f>
        <v/>
      </c>
      <c r="M223" s="31" t="str">
        <f aca="false">IFERROR(I223/F223*1000,"")</f>
        <v/>
      </c>
      <c r="N223" s="32" t="str">
        <f aca="false">IF(G223="","",IF(G223&gt;=0.5,"PASS","FIX HOOK"))</f>
        <v/>
      </c>
    </row>
    <row r="224" customFormat="false" ht="15" hidden="false" customHeight="false" outlineLevel="0" collapsed="false">
      <c r="A224" s="33"/>
      <c r="B224" s="33"/>
      <c r="C224" s="33"/>
      <c r="D224" s="33"/>
      <c r="E224" s="33"/>
      <c r="F224" s="34"/>
      <c r="G224" s="35"/>
      <c r="H224" s="34"/>
      <c r="I224" s="34"/>
      <c r="J224" s="34"/>
      <c r="K224" s="34"/>
      <c r="L224" s="31" t="str">
        <f aca="false">IFERROR(H224/F224*1000,"")</f>
        <v/>
      </c>
      <c r="M224" s="31" t="str">
        <f aca="false">IFERROR(I224/F224*1000,"")</f>
        <v/>
      </c>
      <c r="N224" s="32" t="str">
        <f aca="false">IF(G224="","",IF(G224&gt;=0.5,"PASS","FIX HOOK"))</f>
        <v/>
      </c>
    </row>
    <row r="225" customFormat="false" ht="15" hidden="false" customHeight="false" outlineLevel="0" collapsed="false">
      <c r="A225" s="33"/>
      <c r="B225" s="33"/>
      <c r="C225" s="33"/>
      <c r="D225" s="33"/>
      <c r="E225" s="33"/>
      <c r="F225" s="34"/>
      <c r="G225" s="35"/>
      <c r="H225" s="34"/>
      <c r="I225" s="34"/>
      <c r="J225" s="34"/>
      <c r="K225" s="34"/>
      <c r="L225" s="31" t="str">
        <f aca="false">IFERROR(H225/F225*1000,"")</f>
        <v/>
      </c>
      <c r="M225" s="31" t="str">
        <f aca="false">IFERROR(I225/F225*1000,"")</f>
        <v/>
      </c>
      <c r="N225" s="32" t="str">
        <f aca="false">IF(G225="","",IF(G225&gt;=0.5,"PASS","FIX HOOK"))</f>
        <v/>
      </c>
    </row>
    <row r="226" customFormat="false" ht="15" hidden="false" customHeight="false" outlineLevel="0" collapsed="false">
      <c r="A226" s="33"/>
      <c r="B226" s="33"/>
      <c r="C226" s="33"/>
      <c r="D226" s="33"/>
      <c r="E226" s="33"/>
      <c r="F226" s="34"/>
      <c r="G226" s="35"/>
      <c r="H226" s="34"/>
      <c r="I226" s="34"/>
      <c r="J226" s="34"/>
      <c r="K226" s="34"/>
      <c r="L226" s="31" t="str">
        <f aca="false">IFERROR(H226/F226*1000,"")</f>
        <v/>
      </c>
      <c r="M226" s="31" t="str">
        <f aca="false">IFERROR(I226/F226*1000,"")</f>
        <v/>
      </c>
      <c r="N226" s="32" t="str">
        <f aca="false">IF(G226="","",IF(G226&gt;=0.5,"PASS","FIX HOOK"))</f>
        <v/>
      </c>
    </row>
    <row r="227" customFormat="false" ht="15" hidden="false" customHeight="false" outlineLevel="0" collapsed="false">
      <c r="A227" s="33"/>
      <c r="B227" s="33"/>
      <c r="C227" s="33"/>
      <c r="D227" s="33"/>
      <c r="E227" s="33"/>
      <c r="F227" s="34"/>
      <c r="G227" s="35"/>
      <c r="H227" s="34"/>
      <c r="I227" s="34"/>
      <c r="J227" s="34"/>
      <c r="K227" s="34"/>
      <c r="L227" s="31" t="str">
        <f aca="false">IFERROR(H227/F227*1000,"")</f>
        <v/>
      </c>
      <c r="M227" s="31" t="str">
        <f aca="false">IFERROR(I227/F227*1000,"")</f>
        <v/>
      </c>
      <c r="N227" s="32" t="str">
        <f aca="false">IF(G227="","",IF(G227&gt;=0.5,"PASS","FIX HOOK"))</f>
        <v/>
      </c>
    </row>
    <row r="228" customFormat="false" ht="15" hidden="false" customHeight="false" outlineLevel="0" collapsed="false">
      <c r="A228" s="33"/>
      <c r="B228" s="33"/>
      <c r="C228" s="33"/>
      <c r="D228" s="33"/>
      <c r="E228" s="33"/>
      <c r="F228" s="34"/>
      <c r="G228" s="35"/>
      <c r="H228" s="34"/>
      <c r="I228" s="34"/>
      <c r="J228" s="34"/>
      <c r="K228" s="34"/>
      <c r="L228" s="31" t="str">
        <f aca="false">IFERROR(H228/F228*1000,"")</f>
        <v/>
      </c>
      <c r="M228" s="31" t="str">
        <f aca="false">IFERROR(I228/F228*1000,"")</f>
        <v/>
      </c>
      <c r="N228" s="32" t="str">
        <f aca="false">IF(G228="","",IF(G228&gt;=0.5,"PASS","FIX HOOK"))</f>
        <v/>
      </c>
    </row>
    <row r="229" customFormat="false" ht="15" hidden="false" customHeight="false" outlineLevel="0" collapsed="false">
      <c r="A229" s="33"/>
      <c r="B229" s="33"/>
      <c r="C229" s="33"/>
      <c r="D229" s="33"/>
      <c r="E229" s="33"/>
      <c r="F229" s="34"/>
      <c r="G229" s="35"/>
      <c r="H229" s="34"/>
      <c r="I229" s="34"/>
      <c r="J229" s="34"/>
      <c r="K229" s="34"/>
      <c r="L229" s="31" t="str">
        <f aca="false">IFERROR(H229/F229*1000,"")</f>
        <v/>
      </c>
      <c r="M229" s="31" t="str">
        <f aca="false">IFERROR(I229/F229*1000,"")</f>
        <v/>
      </c>
      <c r="N229" s="32" t="str">
        <f aca="false">IF(G229="","",IF(G229&gt;=0.5,"PASS","FIX HOOK"))</f>
        <v/>
      </c>
    </row>
    <row r="230" customFormat="false" ht="15" hidden="false" customHeight="false" outlineLevel="0" collapsed="false">
      <c r="A230" s="33"/>
      <c r="B230" s="33"/>
      <c r="C230" s="33"/>
      <c r="D230" s="33"/>
      <c r="E230" s="33"/>
      <c r="F230" s="34"/>
      <c r="G230" s="35"/>
      <c r="H230" s="34"/>
      <c r="I230" s="34"/>
      <c r="J230" s="34"/>
      <c r="K230" s="34"/>
      <c r="L230" s="31" t="str">
        <f aca="false">IFERROR(H230/F230*1000,"")</f>
        <v/>
      </c>
      <c r="M230" s="31" t="str">
        <f aca="false">IFERROR(I230/F230*1000,"")</f>
        <v/>
      </c>
      <c r="N230" s="32" t="str">
        <f aca="false">IF(G230="","",IF(G230&gt;=0.5,"PASS","FIX HOOK"))</f>
        <v/>
      </c>
    </row>
    <row r="231" customFormat="false" ht="15" hidden="false" customHeight="false" outlineLevel="0" collapsed="false">
      <c r="A231" s="33"/>
      <c r="B231" s="33"/>
      <c r="C231" s="33"/>
      <c r="D231" s="33"/>
      <c r="E231" s="33"/>
      <c r="F231" s="34"/>
      <c r="G231" s="35"/>
      <c r="H231" s="34"/>
      <c r="I231" s="34"/>
      <c r="J231" s="34"/>
      <c r="K231" s="34"/>
      <c r="L231" s="31" t="str">
        <f aca="false">IFERROR(H231/F231*1000,"")</f>
        <v/>
      </c>
      <c r="M231" s="31" t="str">
        <f aca="false">IFERROR(I231/F231*1000,"")</f>
        <v/>
      </c>
      <c r="N231" s="32" t="str">
        <f aca="false">IF(G231="","",IF(G231&gt;=0.5,"PASS","FIX HOOK"))</f>
        <v/>
      </c>
    </row>
    <row r="232" customFormat="false" ht="15" hidden="false" customHeight="false" outlineLevel="0" collapsed="false">
      <c r="A232" s="33"/>
      <c r="B232" s="33"/>
      <c r="C232" s="33"/>
      <c r="D232" s="33"/>
      <c r="E232" s="33"/>
      <c r="F232" s="34"/>
      <c r="G232" s="35"/>
      <c r="H232" s="34"/>
      <c r="I232" s="34"/>
      <c r="J232" s="34"/>
      <c r="K232" s="34"/>
      <c r="L232" s="31" t="str">
        <f aca="false">IFERROR(H232/F232*1000,"")</f>
        <v/>
      </c>
      <c r="M232" s="31" t="str">
        <f aca="false">IFERROR(I232/F232*1000,"")</f>
        <v/>
      </c>
      <c r="N232" s="32" t="str">
        <f aca="false">IF(G232="","",IF(G232&gt;=0.5,"PASS","FIX HOOK"))</f>
        <v/>
      </c>
    </row>
    <row r="233" customFormat="false" ht="15" hidden="false" customHeight="false" outlineLevel="0" collapsed="false">
      <c r="A233" s="33"/>
      <c r="B233" s="33"/>
      <c r="C233" s="33"/>
      <c r="D233" s="33"/>
      <c r="E233" s="33"/>
      <c r="F233" s="34"/>
      <c r="G233" s="35"/>
      <c r="H233" s="34"/>
      <c r="I233" s="34"/>
      <c r="J233" s="34"/>
      <c r="K233" s="34"/>
      <c r="L233" s="31" t="str">
        <f aca="false">IFERROR(H233/F233*1000,"")</f>
        <v/>
      </c>
      <c r="M233" s="31" t="str">
        <f aca="false">IFERROR(I233/F233*1000,"")</f>
        <v/>
      </c>
      <c r="N233" s="32" t="str">
        <f aca="false">IF(G233="","",IF(G233&gt;=0.5,"PASS","FIX HOOK"))</f>
        <v/>
      </c>
    </row>
    <row r="234" customFormat="false" ht="15" hidden="false" customHeight="false" outlineLevel="0" collapsed="false">
      <c r="A234" s="33"/>
      <c r="B234" s="33"/>
      <c r="C234" s="33"/>
      <c r="D234" s="33"/>
      <c r="E234" s="33"/>
      <c r="F234" s="34"/>
      <c r="G234" s="35"/>
      <c r="H234" s="34"/>
      <c r="I234" s="34"/>
      <c r="J234" s="34"/>
      <c r="K234" s="34"/>
      <c r="L234" s="31" t="str">
        <f aca="false">IFERROR(H234/F234*1000,"")</f>
        <v/>
      </c>
      <c r="M234" s="31" t="str">
        <f aca="false">IFERROR(I234/F234*1000,"")</f>
        <v/>
      </c>
      <c r="N234" s="32" t="str">
        <f aca="false">IF(G234="","",IF(G234&gt;=0.5,"PASS","FIX HOOK"))</f>
        <v/>
      </c>
    </row>
    <row r="235" customFormat="false" ht="15" hidden="false" customHeight="false" outlineLevel="0" collapsed="false">
      <c r="A235" s="33"/>
      <c r="B235" s="33"/>
      <c r="C235" s="33"/>
      <c r="D235" s="33"/>
      <c r="E235" s="33"/>
      <c r="F235" s="34"/>
      <c r="G235" s="35"/>
      <c r="H235" s="34"/>
      <c r="I235" s="34"/>
      <c r="J235" s="34"/>
      <c r="K235" s="34"/>
      <c r="L235" s="31" t="str">
        <f aca="false">IFERROR(H235/F235*1000,"")</f>
        <v/>
      </c>
      <c r="M235" s="31" t="str">
        <f aca="false">IFERROR(I235/F235*1000,"")</f>
        <v/>
      </c>
      <c r="N235" s="32" t="str">
        <f aca="false">IF(G235="","",IF(G235&gt;=0.5,"PASS","FIX HOOK"))</f>
        <v/>
      </c>
    </row>
    <row r="236" customFormat="false" ht="15" hidden="false" customHeight="false" outlineLevel="0" collapsed="false">
      <c r="A236" s="33"/>
      <c r="B236" s="33"/>
      <c r="C236" s="33"/>
      <c r="D236" s="33"/>
      <c r="E236" s="33"/>
      <c r="F236" s="34"/>
      <c r="G236" s="35"/>
      <c r="H236" s="34"/>
      <c r="I236" s="34"/>
      <c r="J236" s="34"/>
      <c r="K236" s="34"/>
      <c r="L236" s="31" t="str">
        <f aca="false">IFERROR(H236/F236*1000,"")</f>
        <v/>
      </c>
      <c r="M236" s="31" t="str">
        <f aca="false">IFERROR(I236/F236*1000,"")</f>
        <v/>
      </c>
      <c r="N236" s="32" t="str">
        <f aca="false">IF(G236="","",IF(G236&gt;=0.5,"PASS","FIX HOOK"))</f>
        <v/>
      </c>
    </row>
    <row r="237" customFormat="false" ht="15" hidden="false" customHeight="false" outlineLevel="0" collapsed="false">
      <c r="A237" s="33"/>
      <c r="B237" s="33"/>
      <c r="C237" s="33"/>
      <c r="D237" s="33"/>
      <c r="E237" s="33"/>
      <c r="F237" s="34"/>
      <c r="G237" s="35"/>
      <c r="H237" s="34"/>
      <c r="I237" s="34"/>
      <c r="J237" s="34"/>
      <c r="K237" s="34"/>
      <c r="L237" s="31" t="str">
        <f aca="false">IFERROR(H237/F237*1000,"")</f>
        <v/>
      </c>
      <c r="M237" s="31" t="str">
        <f aca="false">IFERROR(I237/F237*1000,"")</f>
        <v/>
      </c>
      <c r="N237" s="32" t="str">
        <f aca="false">IF(G237="","",IF(G237&gt;=0.5,"PASS","FIX HOOK"))</f>
        <v/>
      </c>
    </row>
    <row r="238" customFormat="false" ht="15" hidden="false" customHeight="false" outlineLevel="0" collapsed="false">
      <c r="A238" s="33"/>
      <c r="B238" s="33"/>
      <c r="C238" s="33"/>
      <c r="D238" s="33"/>
      <c r="E238" s="33"/>
      <c r="F238" s="34"/>
      <c r="G238" s="35"/>
      <c r="H238" s="34"/>
      <c r="I238" s="34"/>
      <c r="J238" s="34"/>
      <c r="K238" s="34"/>
      <c r="L238" s="31" t="str">
        <f aca="false">IFERROR(H238/F238*1000,"")</f>
        <v/>
      </c>
      <c r="M238" s="31" t="str">
        <f aca="false">IFERROR(I238/F238*1000,"")</f>
        <v/>
      </c>
      <c r="N238" s="32" t="str">
        <f aca="false">IF(G238="","",IF(G238&gt;=0.5,"PASS","FIX HOOK"))</f>
        <v/>
      </c>
    </row>
    <row r="239" customFormat="false" ht="15" hidden="false" customHeight="false" outlineLevel="0" collapsed="false">
      <c r="A239" s="33"/>
      <c r="B239" s="33"/>
      <c r="C239" s="33"/>
      <c r="D239" s="33"/>
      <c r="E239" s="33"/>
      <c r="F239" s="34"/>
      <c r="G239" s="35"/>
      <c r="H239" s="34"/>
      <c r="I239" s="34"/>
      <c r="J239" s="34"/>
      <c r="K239" s="34"/>
      <c r="L239" s="31" t="str">
        <f aca="false">IFERROR(H239/F239*1000,"")</f>
        <v/>
      </c>
      <c r="M239" s="31" t="str">
        <f aca="false">IFERROR(I239/F239*1000,"")</f>
        <v/>
      </c>
      <c r="N239" s="32" t="str">
        <f aca="false">IF(G239="","",IF(G239&gt;=0.5,"PASS","FIX HOOK"))</f>
        <v/>
      </c>
    </row>
    <row r="240" customFormat="false" ht="15" hidden="false" customHeight="false" outlineLevel="0" collapsed="false">
      <c r="A240" s="33"/>
      <c r="B240" s="33"/>
      <c r="C240" s="33"/>
      <c r="D240" s="33"/>
      <c r="E240" s="33"/>
      <c r="F240" s="34"/>
      <c r="G240" s="35"/>
      <c r="H240" s="34"/>
      <c r="I240" s="34"/>
      <c r="J240" s="34"/>
      <c r="K240" s="34"/>
      <c r="L240" s="31" t="str">
        <f aca="false">IFERROR(H240/F240*1000,"")</f>
        <v/>
      </c>
      <c r="M240" s="31" t="str">
        <f aca="false">IFERROR(I240/F240*1000,"")</f>
        <v/>
      </c>
      <c r="N240" s="32" t="str">
        <f aca="false">IF(G240="","",IF(G240&gt;=0.5,"PASS","FIX HOOK"))</f>
        <v/>
      </c>
    </row>
    <row r="241" customFormat="false" ht="15" hidden="false" customHeight="false" outlineLevel="0" collapsed="false">
      <c r="A241" s="33"/>
      <c r="B241" s="33"/>
      <c r="C241" s="33"/>
      <c r="D241" s="33"/>
      <c r="E241" s="33"/>
      <c r="F241" s="34"/>
      <c r="G241" s="35"/>
      <c r="H241" s="34"/>
      <c r="I241" s="34"/>
      <c r="J241" s="34"/>
      <c r="K241" s="34"/>
      <c r="L241" s="31" t="str">
        <f aca="false">IFERROR(H241/F241*1000,"")</f>
        <v/>
      </c>
      <c r="M241" s="31" t="str">
        <f aca="false">IFERROR(I241/F241*1000,"")</f>
        <v/>
      </c>
      <c r="N241" s="32" t="str">
        <f aca="false">IF(G241="","",IF(G241&gt;=0.5,"PASS","FIX HOOK"))</f>
        <v/>
      </c>
    </row>
    <row r="242" customFormat="false" ht="15" hidden="false" customHeight="false" outlineLevel="0" collapsed="false">
      <c r="A242" s="33"/>
      <c r="B242" s="33"/>
      <c r="C242" s="33"/>
      <c r="D242" s="33"/>
      <c r="E242" s="33"/>
      <c r="F242" s="34"/>
      <c r="G242" s="35"/>
      <c r="H242" s="34"/>
      <c r="I242" s="34"/>
      <c r="J242" s="34"/>
      <c r="K242" s="34"/>
      <c r="L242" s="31" t="str">
        <f aca="false">IFERROR(H242/F242*1000,"")</f>
        <v/>
      </c>
      <c r="M242" s="31" t="str">
        <f aca="false">IFERROR(I242/F242*1000,"")</f>
        <v/>
      </c>
      <c r="N242" s="32" t="str">
        <f aca="false">IF(G242="","",IF(G242&gt;=0.5,"PASS","FIX HOOK"))</f>
        <v/>
      </c>
    </row>
    <row r="243" customFormat="false" ht="15" hidden="false" customHeight="false" outlineLevel="0" collapsed="false">
      <c r="A243" s="33"/>
      <c r="B243" s="33"/>
      <c r="C243" s="33"/>
      <c r="D243" s="33"/>
      <c r="E243" s="33"/>
      <c r="F243" s="34"/>
      <c r="G243" s="35"/>
      <c r="H243" s="34"/>
      <c r="I243" s="34"/>
      <c r="J243" s="34"/>
      <c r="K243" s="34"/>
      <c r="L243" s="31" t="str">
        <f aca="false">IFERROR(H243/F243*1000,"")</f>
        <v/>
      </c>
      <c r="M243" s="31" t="str">
        <f aca="false">IFERROR(I243/F243*1000,"")</f>
        <v/>
      </c>
      <c r="N243" s="32" t="str">
        <f aca="false">IF(G243="","",IF(G243&gt;=0.5,"PASS","FIX HOOK"))</f>
        <v/>
      </c>
    </row>
    <row r="244" customFormat="false" ht="15" hidden="false" customHeight="false" outlineLevel="0" collapsed="false">
      <c r="A244" s="33"/>
      <c r="B244" s="33"/>
      <c r="C244" s="33"/>
      <c r="D244" s="33"/>
      <c r="E244" s="33"/>
      <c r="F244" s="34"/>
      <c r="G244" s="35"/>
      <c r="H244" s="34"/>
      <c r="I244" s="34"/>
      <c r="J244" s="34"/>
      <c r="K244" s="34"/>
      <c r="L244" s="31" t="str">
        <f aca="false">IFERROR(H244/F244*1000,"")</f>
        <v/>
      </c>
      <c r="M244" s="31" t="str">
        <f aca="false">IFERROR(I244/F244*1000,"")</f>
        <v/>
      </c>
      <c r="N244" s="32" t="str">
        <f aca="false">IF(G244="","",IF(G244&gt;=0.5,"PASS","FIX HOOK"))</f>
        <v/>
      </c>
    </row>
    <row r="245" customFormat="false" ht="15" hidden="false" customHeight="false" outlineLevel="0" collapsed="false">
      <c r="A245" s="33"/>
      <c r="B245" s="33"/>
      <c r="C245" s="33"/>
      <c r="D245" s="33"/>
      <c r="E245" s="33"/>
      <c r="F245" s="34"/>
      <c r="G245" s="35"/>
      <c r="H245" s="34"/>
      <c r="I245" s="34"/>
      <c r="J245" s="34"/>
      <c r="K245" s="34"/>
      <c r="L245" s="31" t="str">
        <f aca="false">IFERROR(H245/F245*1000,"")</f>
        <v/>
      </c>
      <c r="M245" s="31" t="str">
        <f aca="false">IFERROR(I245/F245*1000,"")</f>
        <v/>
      </c>
      <c r="N245" s="32" t="str">
        <f aca="false">IF(G245="","",IF(G245&gt;=0.5,"PASS","FIX HOOK"))</f>
        <v/>
      </c>
    </row>
    <row r="246" customFormat="false" ht="15" hidden="false" customHeight="false" outlineLevel="0" collapsed="false">
      <c r="A246" s="33"/>
      <c r="B246" s="33"/>
      <c r="C246" s="33"/>
      <c r="D246" s="33"/>
      <c r="E246" s="33"/>
      <c r="F246" s="34"/>
      <c r="G246" s="35"/>
      <c r="H246" s="34"/>
      <c r="I246" s="34"/>
      <c r="J246" s="34"/>
      <c r="K246" s="34"/>
      <c r="L246" s="31" t="str">
        <f aca="false">IFERROR(H246/F246*1000,"")</f>
        <v/>
      </c>
      <c r="M246" s="31" t="str">
        <f aca="false">IFERROR(I246/F246*1000,"")</f>
        <v/>
      </c>
      <c r="N246" s="32" t="str">
        <f aca="false">IF(G246="","",IF(G246&gt;=0.5,"PASS","FIX HOOK"))</f>
        <v/>
      </c>
    </row>
    <row r="247" customFormat="false" ht="15" hidden="false" customHeight="false" outlineLevel="0" collapsed="false">
      <c r="A247" s="33"/>
      <c r="B247" s="33"/>
      <c r="C247" s="33"/>
      <c r="D247" s="33"/>
      <c r="E247" s="33"/>
      <c r="F247" s="34"/>
      <c r="G247" s="35"/>
      <c r="H247" s="34"/>
      <c r="I247" s="34"/>
      <c r="J247" s="34"/>
      <c r="K247" s="34"/>
      <c r="L247" s="31" t="str">
        <f aca="false">IFERROR(H247/F247*1000,"")</f>
        <v/>
      </c>
      <c r="M247" s="31" t="str">
        <f aca="false">IFERROR(I247/F247*1000,"")</f>
        <v/>
      </c>
      <c r="N247" s="32" t="str">
        <f aca="false">IF(G247="","",IF(G247&gt;=0.5,"PASS","FIX HOOK"))</f>
        <v/>
      </c>
    </row>
    <row r="248" customFormat="false" ht="15" hidden="false" customHeight="false" outlineLevel="0" collapsed="false">
      <c r="A248" s="33"/>
      <c r="B248" s="33"/>
      <c r="C248" s="33"/>
      <c r="D248" s="33"/>
      <c r="E248" s="33"/>
      <c r="F248" s="34"/>
      <c r="G248" s="35"/>
      <c r="H248" s="34"/>
      <c r="I248" s="34"/>
      <c r="J248" s="34"/>
      <c r="K248" s="34"/>
      <c r="L248" s="31" t="str">
        <f aca="false">IFERROR(H248/F248*1000,"")</f>
        <v/>
      </c>
      <c r="M248" s="31" t="str">
        <f aca="false">IFERROR(I248/F248*1000,"")</f>
        <v/>
      </c>
      <c r="N248" s="32" t="str">
        <f aca="false">IF(G248="","",IF(G248&gt;=0.5,"PASS","FIX HOOK"))</f>
        <v/>
      </c>
    </row>
    <row r="249" customFormat="false" ht="15" hidden="false" customHeight="false" outlineLevel="0" collapsed="false">
      <c r="A249" s="33"/>
      <c r="B249" s="33"/>
      <c r="C249" s="33"/>
      <c r="D249" s="33"/>
      <c r="E249" s="33"/>
      <c r="F249" s="34"/>
      <c r="G249" s="35"/>
      <c r="H249" s="34"/>
      <c r="I249" s="34"/>
      <c r="J249" s="34"/>
      <c r="K249" s="34"/>
      <c r="L249" s="31" t="str">
        <f aca="false">IFERROR(H249/F249*1000,"")</f>
        <v/>
      </c>
      <c r="M249" s="31" t="str">
        <f aca="false">IFERROR(I249/F249*1000,"")</f>
        <v/>
      </c>
      <c r="N249" s="32" t="str">
        <f aca="false">IF(G249="","",IF(G249&gt;=0.5,"PASS","FIX HOOK"))</f>
        <v/>
      </c>
    </row>
    <row r="250" customFormat="false" ht="15" hidden="false" customHeight="false" outlineLevel="0" collapsed="false">
      <c r="A250" s="33"/>
      <c r="B250" s="33"/>
      <c r="C250" s="33"/>
      <c r="D250" s="33"/>
      <c r="E250" s="33"/>
      <c r="F250" s="34"/>
      <c r="G250" s="35"/>
      <c r="H250" s="34"/>
      <c r="I250" s="34"/>
      <c r="J250" s="34"/>
      <c r="K250" s="34"/>
      <c r="L250" s="31" t="str">
        <f aca="false">IFERROR(H250/F250*1000,"")</f>
        <v/>
      </c>
      <c r="M250" s="31" t="str">
        <f aca="false">IFERROR(I250/F250*1000,"")</f>
        <v/>
      </c>
      <c r="N250" s="32" t="str">
        <f aca="false">IF(G250="","",IF(G250&gt;=0.5,"PASS","FIX HOOK"))</f>
        <v/>
      </c>
    </row>
    <row r="251" customFormat="false" ht="15" hidden="false" customHeight="false" outlineLevel="0" collapsed="false">
      <c r="A251" s="33"/>
      <c r="B251" s="33"/>
      <c r="C251" s="33"/>
      <c r="D251" s="33"/>
      <c r="E251" s="33"/>
      <c r="F251" s="34"/>
      <c r="G251" s="35"/>
      <c r="H251" s="34"/>
      <c r="I251" s="34"/>
      <c r="J251" s="34"/>
      <c r="K251" s="34"/>
      <c r="L251" s="31" t="str">
        <f aca="false">IFERROR(H251/F251*1000,"")</f>
        <v/>
      </c>
      <c r="M251" s="31" t="str">
        <f aca="false">IFERROR(I251/F251*1000,"")</f>
        <v/>
      </c>
      <c r="N251" s="32" t="str">
        <f aca="false">IF(G251="","",IF(G251&gt;=0.5,"PASS","FIX HOOK"))</f>
        <v/>
      </c>
    </row>
    <row r="252" customFormat="false" ht="15" hidden="false" customHeight="false" outlineLevel="0" collapsed="false">
      <c r="A252" s="33"/>
      <c r="B252" s="33"/>
      <c r="C252" s="33"/>
      <c r="D252" s="33"/>
      <c r="E252" s="33"/>
      <c r="F252" s="34"/>
      <c r="G252" s="35"/>
      <c r="H252" s="34"/>
      <c r="I252" s="34"/>
      <c r="J252" s="34"/>
      <c r="K252" s="34"/>
      <c r="L252" s="31" t="str">
        <f aca="false">IFERROR(H252/F252*1000,"")</f>
        <v/>
      </c>
      <c r="M252" s="31" t="str">
        <f aca="false">IFERROR(I252/F252*1000,"")</f>
        <v/>
      </c>
      <c r="N252" s="32" t="str">
        <f aca="false">IF(G252="","",IF(G252&gt;=0.5,"PASS","FIX HOOK"))</f>
        <v/>
      </c>
    </row>
    <row r="253" customFormat="false" ht="15" hidden="false" customHeight="false" outlineLevel="0" collapsed="false">
      <c r="A253" s="33"/>
      <c r="B253" s="33"/>
      <c r="C253" s="33"/>
      <c r="D253" s="33"/>
      <c r="E253" s="33"/>
      <c r="F253" s="34"/>
      <c r="G253" s="35"/>
      <c r="H253" s="34"/>
      <c r="I253" s="34"/>
      <c r="J253" s="34"/>
      <c r="K253" s="34"/>
      <c r="L253" s="31" t="str">
        <f aca="false">IFERROR(H253/F253*1000,"")</f>
        <v/>
      </c>
      <c r="M253" s="31" t="str">
        <f aca="false">IFERROR(I253/F253*1000,"")</f>
        <v/>
      </c>
      <c r="N253" s="32" t="str">
        <f aca="false">IF(G253="","",IF(G253&gt;=0.5,"PASS","FIX HOOK"))</f>
        <v/>
      </c>
    </row>
    <row r="254" customFormat="false" ht="15" hidden="false" customHeight="false" outlineLevel="0" collapsed="false">
      <c r="A254" s="33"/>
      <c r="B254" s="33"/>
      <c r="C254" s="33"/>
      <c r="D254" s="33"/>
      <c r="E254" s="33"/>
      <c r="F254" s="34"/>
      <c r="G254" s="35"/>
      <c r="H254" s="34"/>
      <c r="I254" s="34"/>
      <c r="J254" s="34"/>
      <c r="K254" s="34"/>
      <c r="L254" s="31" t="str">
        <f aca="false">IFERROR(H254/F254*1000,"")</f>
        <v/>
      </c>
      <c r="M254" s="31" t="str">
        <f aca="false">IFERROR(I254/F254*1000,"")</f>
        <v/>
      </c>
      <c r="N254" s="32" t="str">
        <f aca="false">IF(G254="","",IF(G254&gt;=0.5,"PASS","FIX HOOK"))</f>
        <v/>
      </c>
    </row>
    <row r="255" customFormat="false" ht="15" hidden="false" customHeight="false" outlineLevel="0" collapsed="false">
      <c r="A255" s="33"/>
      <c r="B255" s="33"/>
      <c r="C255" s="33"/>
      <c r="D255" s="33"/>
      <c r="E255" s="33"/>
      <c r="F255" s="34"/>
      <c r="G255" s="35"/>
      <c r="H255" s="34"/>
      <c r="I255" s="34"/>
      <c r="J255" s="34"/>
      <c r="K255" s="34"/>
      <c r="L255" s="31" t="str">
        <f aca="false">IFERROR(H255/F255*1000,"")</f>
        <v/>
      </c>
      <c r="M255" s="31" t="str">
        <f aca="false">IFERROR(I255/F255*1000,"")</f>
        <v/>
      </c>
      <c r="N255" s="32" t="str">
        <f aca="false">IF(G255="","",IF(G255&gt;=0.5,"PASS","FIX HOOK"))</f>
        <v/>
      </c>
    </row>
    <row r="256" customFormat="false" ht="15" hidden="false" customHeight="false" outlineLevel="0" collapsed="false">
      <c r="A256" s="33"/>
      <c r="B256" s="33"/>
      <c r="C256" s="33"/>
      <c r="D256" s="33"/>
      <c r="E256" s="33"/>
      <c r="F256" s="34"/>
      <c r="G256" s="35"/>
      <c r="H256" s="34"/>
      <c r="I256" s="34"/>
      <c r="J256" s="34"/>
      <c r="K256" s="34"/>
      <c r="L256" s="31" t="str">
        <f aca="false">IFERROR(H256/F256*1000,"")</f>
        <v/>
      </c>
      <c r="M256" s="31" t="str">
        <f aca="false">IFERROR(I256/F256*1000,"")</f>
        <v/>
      </c>
      <c r="N256" s="32" t="str">
        <f aca="false">IF(G256="","",IF(G256&gt;=0.5,"PASS","FIX HOOK"))</f>
        <v/>
      </c>
    </row>
    <row r="257" customFormat="false" ht="15" hidden="false" customHeight="false" outlineLevel="0" collapsed="false">
      <c r="A257" s="33"/>
      <c r="B257" s="33"/>
      <c r="C257" s="33"/>
      <c r="D257" s="33"/>
      <c r="E257" s="33"/>
      <c r="F257" s="34"/>
      <c r="G257" s="35"/>
      <c r="H257" s="34"/>
      <c r="I257" s="34"/>
      <c r="J257" s="34"/>
      <c r="K257" s="34"/>
      <c r="L257" s="31" t="str">
        <f aca="false">IFERROR(H257/F257*1000,"")</f>
        <v/>
      </c>
      <c r="M257" s="31" t="str">
        <f aca="false">IFERROR(I257/F257*1000,"")</f>
        <v/>
      </c>
      <c r="N257" s="32" t="str">
        <f aca="false">IF(G257="","",IF(G257&gt;=0.5,"PASS","FIX HOOK"))</f>
        <v/>
      </c>
    </row>
    <row r="258" customFormat="false" ht="15" hidden="false" customHeight="false" outlineLevel="0" collapsed="false">
      <c r="A258" s="33"/>
      <c r="B258" s="33"/>
      <c r="C258" s="33"/>
      <c r="D258" s="33"/>
      <c r="E258" s="33"/>
      <c r="F258" s="34"/>
      <c r="G258" s="35"/>
      <c r="H258" s="34"/>
      <c r="I258" s="34"/>
      <c r="J258" s="34"/>
      <c r="K258" s="34"/>
      <c r="L258" s="31" t="str">
        <f aca="false">IFERROR(H258/F258*1000,"")</f>
        <v/>
      </c>
      <c r="M258" s="31" t="str">
        <f aca="false">IFERROR(I258/F258*1000,"")</f>
        <v/>
      </c>
      <c r="N258" s="32" t="str">
        <f aca="false">IF(G258="","",IF(G258&gt;=0.5,"PASS","FIX HOOK"))</f>
        <v/>
      </c>
    </row>
    <row r="259" customFormat="false" ht="15" hidden="false" customHeight="false" outlineLevel="0" collapsed="false">
      <c r="A259" s="33"/>
      <c r="B259" s="33"/>
      <c r="C259" s="33"/>
      <c r="D259" s="33"/>
      <c r="E259" s="33"/>
      <c r="F259" s="34"/>
      <c r="G259" s="35"/>
      <c r="H259" s="34"/>
      <c r="I259" s="34"/>
      <c r="J259" s="34"/>
      <c r="K259" s="34"/>
      <c r="L259" s="31" t="str">
        <f aca="false">IFERROR(H259/F259*1000,"")</f>
        <v/>
      </c>
      <c r="M259" s="31" t="str">
        <f aca="false">IFERROR(I259/F259*1000,"")</f>
        <v/>
      </c>
      <c r="N259" s="32" t="str">
        <f aca="false">IF(G259="","",IF(G259&gt;=0.5,"PASS","FIX HOOK"))</f>
        <v/>
      </c>
    </row>
    <row r="260" customFormat="false" ht="15" hidden="false" customHeight="false" outlineLevel="0" collapsed="false">
      <c r="A260" s="33"/>
      <c r="B260" s="33"/>
      <c r="C260" s="33"/>
      <c r="D260" s="33"/>
      <c r="E260" s="33"/>
      <c r="F260" s="34"/>
      <c r="G260" s="35"/>
      <c r="H260" s="34"/>
      <c r="I260" s="34"/>
      <c r="J260" s="34"/>
      <c r="K260" s="34"/>
      <c r="L260" s="31" t="str">
        <f aca="false">IFERROR(H260/F260*1000,"")</f>
        <v/>
      </c>
      <c r="M260" s="31" t="str">
        <f aca="false">IFERROR(I260/F260*1000,"")</f>
        <v/>
      </c>
      <c r="N260" s="32" t="str">
        <f aca="false">IF(G260="","",IF(G260&gt;=0.5,"PASS","FIX HOOK"))</f>
        <v/>
      </c>
    </row>
    <row r="261" customFormat="false" ht="15" hidden="false" customHeight="false" outlineLevel="0" collapsed="false">
      <c r="A261" s="33"/>
      <c r="B261" s="33"/>
      <c r="C261" s="33"/>
      <c r="D261" s="33"/>
      <c r="E261" s="33"/>
      <c r="F261" s="34"/>
      <c r="G261" s="35"/>
      <c r="H261" s="34"/>
      <c r="I261" s="34"/>
      <c r="J261" s="34"/>
      <c r="K261" s="34"/>
      <c r="L261" s="31" t="str">
        <f aca="false">IFERROR(H261/F261*1000,"")</f>
        <v/>
      </c>
      <c r="M261" s="31" t="str">
        <f aca="false">IFERROR(I261/F261*1000,"")</f>
        <v/>
      </c>
      <c r="N261" s="32" t="str">
        <f aca="false">IF(G261="","",IF(G261&gt;=0.5,"PASS","FIX HOOK"))</f>
        <v/>
      </c>
    </row>
    <row r="262" customFormat="false" ht="15" hidden="false" customHeight="false" outlineLevel="0" collapsed="false">
      <c r="A262" s="33"/>
      <c r="B262" s="33"/>
      <c r="C262" s="33"/>
      <c r="D262" s="33"/>
      <c r="E262" s="33"/>
      <c r="F262" s="34"/>
      <c r="G262" s="35"/>
      <c r="H262" s="34"/>
      <c r="I262" s="34"/>
      <c r="J262" s="34"/>
      <c r="K262" s="34"/>
      <c r="L262" s="31" t="str">
        <f aca="false">IFERROR(H262/F262*1000,"")</f>
        <v/>
      </c>
      <c r="M262" s="31" t="str">
        <f aca="false">IFERROR(I262/F262*1000,"")</f>
        <v/>
      </c>
      <c r="N262" s="32" t="str">
        <f aca="false">IF(G262="","",IF(G262&gt;=0.5,"PASS","FIX HOOK"))</f>
        <v/>
      </c>
    </row>
    <row r="263" customFormat="false" ht="15" hidden="false" customHeight="false" outlineLevel="0" collapsed="false">
      <c r="A263" s="33"/>
      <c r="B263" s="33"/>
      <c r="C263" s="33"/>
      <c r="D263" s="33"/>
      <c r="E263" s="33"/>
      <c r="F263" s="34"/>
      <c r="G263" s="35"/>
      <c r="H263" s="34"/>
      <c r="I263" s="34"/>
      <c r="J263" s="34"/>
      <c r="K263" s="34"/>
      <c r="L263" s="31" t="str">
        <f aca="false">IFERROR(H263/F263*1000,"")</f>
        <v/>
      </c>
      <c r="M263" s="31" t="str">
        <f aca="false">IFERROR(I263/F263*1000,"")</f>
        <v/>
      </c>
      <c r="N263" s="32" t="str">
        <f aca="false">IF(G263="","",IF(G263&gt;=0.5,"PASS","FIX HOOK"))</f>
        <v/>
      </c>
    </row>
    <row r="264" customFormat="false" ht="15" hidden="false" customHeight="false" outlineLevel="0" collapsed="false">
      <c r="A264" s="33"/>
      <c r="B264" s="33"/>
      <c r="C264" s="33"/>
      <c r="D264" s="33"/>
      <c r="E264" s="33"/>
      <c r="F264" s="34"/>
      <c r="G264" s="35"/>
      <c r="H264" s="34"/>
      <c r="I264" s="34"/>
      <c r="J264" s="34"/>
      <c r="K264" s="34"/>
      <c r="L264" s="31" t="str">
        <f aca="false">IFERROR(H264/F264*1000,"")</f>
        <v/>
      </c>
      <c r="M264" s="31" t="str">
        <f aca="false">IFERROR(I264/F264*1000,"")</f>
        <v/>
      </c>
      <c r="N264" s="32" t="str">
        <f aca="false">IF(G264="","",IF(G264&gt;=0.5,"PASS","FIX HOOK"))</f>
        <v/>
      </c>
    </row>
    <row r="265" customFormat="false" ht="15" hidden="false" customHeight="false" outlineLevel="0" collapsed="false">
      <c r="A265" s="33"/>
      <c r="B265" s="33"/>
      <c r="C265" s="33"/>
      <c r="D265" s="33"/>
      <c r="E265" s="33"/>
      <c r="F265" s="34"/>
      <c r="G265" s="35"/>
      <c r="H265" s="34"/>
      <c r="I265" s="34"/>
      <c r="J265" s="34"/>
      <c r="K265" s="34"/>
      <c r="L265" s="31" t="str">
        <f aca="false">IFERROR(H265/F265*1000,"")</f>
        <v/>
      </c>
      <c r="M265" s="31" t="str">
        <f aca="false">IFERROR(I265/F265*1000,"")</f>
        <v/>
      </c>
      <c r="N265" s="32" t="str">
        <f aca="false">IF(G265="","",IF(G265&gt;=0.5,"PASS","FIX HOOK"))</f>
        <v/>
      </c>
    </row>
    <row r="266" customFormat="false" ht="15" hidden="false" customHeight="false" outlineLevel="0" collapsed="false">
      <c r="A266" s="33"/>
      <c r="B266" s="33"/>
      <c r="C266" s="33"/>
      <c r="D266" s="33"/>
      <c r="E266" s="33"/>
      <c r="F266" s="34"/>
      <c r="G266" s="35"/>
      <c r="H266" s="34"/>
      <c r="I266" s="34"/>
      <c r="J266" s="34"/>
      <c r="K266" s="34"/>
      <c r="L266" s="31" t="str">
        <f aca="false">IFERROR(H266/F266*1000,"")</f>
        <v/>
      </c>
      <c r="M266" s="31" t="str">
        <f aca="false">IFERROR(I266/F266*1000,"")</f>
        <v/>
      </c>
      <c r="N266" s="32" t="str">
        <f aca="false">IF(G266="","",IF(G266&gt;=0.5,"PASS","FIX HOOK"))</f>
        <v/>
      </c>
    </row>
    <row r="267" customFormat="false" ht="15" hidden="false" customHeight="false" outlineLevel="0" collapsed="false">
      <c r="A267" s="33"/>
      <c r="B267" s="33"/>
      <c r="C267" s="33"/>
      <c r="D267" s="33"/>
      <c r="E267" s="33"/>
      <c r="F267" s="34"/>
      <c r="G267" s="35"/>
      <c r="H267" s="34"/>
      <c r="I267" s="34"/>
      <c r="J267" s="34"/>
      <c r="K267" s="34"/>
      <c r="L267" s="31" t="str">
        <f aca="false">IFERROR(H267/F267*1000,"")</f>
        <v/>
      </c>
      <c r="M267" s="31" t="str">
        <f aca="false">IFERROR(I267/F267*1000,"")</f>
        <v/>
      </c>
      <c r="N267" s="32" t="str">
        <f aca="false">IF(G267="","",IF(G267&gt;=0.5,"PASS","FIX HOOK"))</f>
        <v/>
      </c>
    </row>
    <row r="268" customFormat="false" ht="15" hidden="false" customHeight="false" outlineLevel="0" collapsed="false">
      <c r="A268" s="33"/>
      <c r="B268" s="33"/>
      <c r="C268" s="33"/>
      <c r="D268" s="33"/>
      <c r="E268" s="33"/>
      <c r="F268" s="34"/>
      <c r="G268" s="35"/>
      <c r="H268" s="34"/>
      <c r="I268" s="34"/>
      <c r="J268" s="34"/>
      <c r="K268" s="34"/>
      <c r="L268" s="31" t="str">
        <f aca="false">IFERROR(H268/F268*1000,"")</f>
        <v/>
      </c>
      <c r="M268" s="31" t="str">
        <f aca="false">IFERROR(I268/F268*1000,"")</f>
        <v/>
      </c>
      <c r="N268" s="32" t="str">
        <f aca="false">IF(G268="","",IF(G268&gt;=0.5,"PASS","FIX HOOK"))</f>
        <v/>
      </c>
    </row>
    <row r="269" customFormat="false" ht="15" hidden="false" customHeight="false" outlineLevel="0" collapsed="false">
      <c r="A269" s="33"/>
      <c r="B269" s="33"/>
      <c r="C269" s="33"/>
      <c r="D269" s="33"/>
      <c r="E269" s="33"/>
      <c r="F269" s="34"/>
      <c r="G269" s="35"/>
      <c r="H269" s="34"/>
      <c r="I269" s="34"/>
      <c r="J269" s="34"/>
      <c r="K269" s="34"/>
      <c r="L269" s="31" t="str">
        <f aca="false">IFERROR(H269/F269*1000,"")</f>
        <v/>
      </c>
      <c r="M269" s="31" t="str">
        <f aca="false">IFERROR(I269/F269*1000,"")</f>
        <v/>
      </c>
      <c r="N269" s="32" t="str">
        <f aca="false">IF(G269="","",IF(G269&gt;=0.5,"PASS","FIX HOOK"))</f>
        <v/>
      </c>
    </row>
    <row r="270" customFormat="false" ht="15" hidden="false" customHeight="false" outlineLevel="0" collapsed="false">
      <c r="A270" s="33"/>
      <c r="B270" s="33"/>
      <c r="C270" s="33"/>
      <c r="D270" s="33"/>
      <c r="E270" s="33"/>
      <c r="F270" s="34"/>
      <c r="G270" s="35"/>
      <c r="H270" s="34"/>
      <c r="I270" s="34"/>
      <c r="J270" s="34"/>
      <c r="K270" s="34"/>
      <c r="L270" s="31" t="str">
        <f aca="false">IFERROR(H270/F270*1000,"")</f>
        <v/>
      </c>
      <c r="M270" s="31" t="str">
        <f aca="false">IFERROR(I270/F270*1000,"")</f>
        <v/>
      </c>
      <c r="N270" s="32" t="str">
        <f aca="false">IF(G270="","",IF(G270&gt;=0.5,"PASS","FIX HOOK"))</f>
        <v/>
      </c>
    </row>
    <row r="271" customFormat="false" ht="15" hidden="false" customHeight="false" outlineLevel="0" collapsed="false">
      <c r="A271" s="33"/>
      <c r="B271" s="33"/>
      <c r="C271" s="33"/>
      <c r="D271" s="33"/>
      <c r="E271" s="33"/>
      <c r="F271" s="34"/>
      <c r="G271" s="35"/>
      <c r="H271" s="34"/>
      <c r="I271" s="34"/>
      <c r="J271" s="34"/>
      <c r="K271" s="34"/>
      <c r="L271" s="31" t="str">
        <f aca="false">IFERROR(H271/F271*1000,"")</f>
        <v/>
      </c>
      <c r="M271" s="31" t="str">
        <f aca="false">IFERROR(I271/F271*1000,"")</f>
        <v/>
      </c>
      <c r="N271" s="32" t="str">
        <f aca="false">IF(G271="","",IF(G271&gt;=0.5,"PASS","FIX HOOK"))</f>
        <v/>
      </c>
    </row>
    <row r="272" customFormat="false" ht="15" hidden="false" customHeight="false" outlineLevel="0" collapsed="false">
      <c r="A272" s="33"/>
      <c r="B272" s="33"/>
      <c r="C272" s="33"/>
      <c r="D272" s="33"/>
      <c r="E272" s="33"/>
      <c r="F272" s="34"/>
      <c r="G272" s="35"/>
      <c r="H272" s="34"/>
      <c r="I272" s="34"/>
      <c r="J272" s="34"/>
      <c r="K272" s="34"/>
      <c r="L272" s="31" t="str">
        <f aca="false">IFERROR(H272/F272*1000,"")</f>
        <v/>
      </c>
      <c r="M272" s="31" t="str">
        <f aca="false">IFERROR(I272/F272*1000,"")</f>
        <v/>
      </c>
      <c r="N272" s="32" t="str">
        <f aca="false">IF(G272="","",IF(G272&gt;=0.5,"PASS","FIX HOOK"))</f>
        <v/>
      </c>
    </row>
    <row r="273" customFormat="false" ht="15" hidden="false" customHeight="false" outlineLevel="0" collapsed="false">
      <c r="A273" s="33"/>
      <c r="B273" s="33"/>
      <c r="C273" s="33"/>
      <c r="D273" s="33"/>
      <c r="E273" s="33"/>
      <c r="F273" s="34"/>
      <c r="G273" s="35"/>
      <c r="H273" s="34"/>
      <c r="I273" s="34"/>
      <c r="J273" s="34"/>
      <c r="K273" s="34"/>
      <c r="L273" s="31" t="str">
        <f aca="false">IFERROR(H273/F273*1000,"")</f>
        <v/>
      </c>
      <c r="M273" s="31" t="str">
        <f aca="false">IFERROR(I273/F273*1000,"")</f>
        <v/>
      </c>
      <c r="N273" s="32" t="str">
        <f aca="false">IF(G273="","",IF(G273&gt;=0.5,"PASS","FIX HOOK"))</f>
        <v/>
      </c>
    </row>
    <row r="274" customFormat="false" ht="15" hidden="false" customHeight="false" outlineLevel="0" collapsed="false">
      <c r="A274" s="33"/>
      <c r="B274" s="33"/>
      <c r="C274" s="33"/>
      <c r="D274" s="33"/>
      <c r="E274" s="33"/>
      <c r="F274" s="34"/>
      <c r="G274" s="35"/>
      <c r="H274" s="34"/>
      <c r="I274" s="34"/>
      <c r="J274" s="34"/>
      <c r="K274" s="34"/>
      <c r="L274" s="31" t="str">
        <f aca="false">IFERROR(H274/F274*1000,"")</f>
        <v/>
      </c>
      <c r="M274" s="31" t="str">
        <f aca="false">IFERROR(I274/F274*1000,"")</f>
        <v/>
      </c>
      <c r="N274" s="32" t="str">
        <f aca="false">IF(G274="","",IF(G274&gt;=0.5,"PASS","FIX HOOK"))</f>
        <v/>
      </c>
    </row>
    <row r="275" customFormat="false" ht="15" hidden="false" customHeight="false" outlineLevel="0" collapsed="false">
      <c r="A275" s="33"/>
      <c r="B275" s="33"/>
      <c r="C275" s="33"/>
      <c r="D275" s="33"/>
      <c r="E275" s="33"/>
      <c r="F275" s="34"/>
      <c r="G275" s="35"/>
      <c r="H275" s="34"/>
      <c r="I275" s="34"/>
      <c r="J275" s="34"/>
      <c r="K275" s="34"/>
      <c r="L275" s="31" t="str">
        <f aca="false">IFERROR(H275/F275*1000,"")</f>
        <v/>
      </c>
      <c r="M275" s="31" t="str">
        <f aca="false">IFERROR(I275/F275*1000,"")</f>
        <v/>
      </c>
      <c r="N275" s="32" t="str">
        <f aca="false">IF(G275="","",IF(G275&gt;=0.5,"PASS","FIX HOOK"))</f>
        <v/>
      </c>
    </row>
    <row r="276" customFormat="false" ht="15" hidden="false" customHeight="false" outlineLevel="0" collapsed="false">
      <c r="A276" s="33"/>
      <c r="B276" s="33"/>
      <c r="C276" s="33"/>
      <c r="D276" s="33"/>
      <c r="E276" s="33"/>
      <c r="F276" s="34"/>
      <c r="G276" s="35"/>
      <c r="H276" s="34"/>
      <c r="I276" s="34"/>
      <c r="J276" s="34"/>
      <c r="K276" s="34"/>
      <c r="L276" s="31" t="str">
        <f aca="false">IFERROR(H276/F276*1000,"")</f>
        <v/>
      </c>
      <c r="M276" s="31" t="str">
        <f aca="false">IFERROR(I276/F276*1000,"")</f>
        <v/>
      </c>
      <c r="N276" s="32" t="str">
        <f aca="false">IF(G276="","",IF(G276&gt;=0.5,"PASS","FIX HOOK"))</f>
        <v/>
      </c>
    </row>
    <row r="277" customFormat="false" ht="15" hidden="false" customHeight="false" outlineLevel="0" collapsed="false">
      <c r="A277" s="33"/>
      <c r="B277" s="33"/>
      <c r="C277" s="33"/>
      <c r="D277" s="33"/>
      <c r="E277" s="33"/>
      <c r="F277" s="34"/>
      <c r="G277" s="35"/>
      <c r="H277" s="34"/>
      <c r="I277" s="34"/>
      <c r="J277" s="34"/>
      <c r="K277" s="34"/>
      <c r="L277" s="31" t="str">
        <f aca="false">IFERROR(H277/F277*1000,"")</f>
        <v/>
      </c>
      <c r="M277" s="31" t="str">
        <f aca="false">IFERROR(I277/F277*1000,"")</f>
        <v/>
      </c>
      <c r="N277" s="32" t="str">
        <f aca="false">IF(G277="","",IF(G277&gt;=0.5,"PASS","FIX HOOK"))</f>
        <v/>
      </c>
    </row>
    <row r="278" customFormat="false" ht="15" hidden="false" customHeight="false" outlineLevel="0" collapsed="false">
      <c r="A278" s="33"/>
      <c r="B278" s="33"/>
      <c r="C278" s="33"/>
      <c r="D278" s="33"/>
      <c r="E278" s="33"/>
      <c r="F278" s="34"/>
      <c r="G278" s="35"/>
      <c r="H278" s="34"/>
      <c r="I278" s="34"/>
      <c r="J278" s="34"/>
      <c r="K278" s="34"/>
      <c r="L278" s="31" t="str">
        <f aca="false">IFERROR(H278/F278*1000,"")</f>
        <v/>
      </c>
      <c r="M278" s="31" t="str">
        <f aca="false">IFERROR(I278/F278*1000,"")</f>
        <v/>
      </c>
      <c r="N278" s="32" t="str">
        <f aca="false">IF(G278="","",IF(G278&gt;=0.5,"PASS","FIX HOOK"))</f>
        <v/>
      </c>
    </row>
    <row r="279" customFormat="false" ht="15" hidden="false" customHeight="false" outlineLevel="0" collapsed="false">
      <c r="A279" s="33"/>
      <c r="B279" s="33"/>
      <c r="C279" s="33"/>
      <c r="D279" s="33"/>
      <c r="E279" s="33"/>
      <c r="F279" s="34"/>
      <c r="G279" s="35"/>
      <c r="H279" s="34"/>
      <c r="I279" s="34"/>
      <c r="J279" s="34"/>
      <c r="K279" s="34"/>
      <c r="L279" s="31" t="str">
        <f aca="false">IFERROR(H279/F279*1000,"")</f>
        <v/>
      </c>
      <c r="M279" s="31" t="str">
        <f aca="false">IFERROR(I279/F279*1000,"")</f>
        <v/>
      </c>
      <c r="N279" s="32" t="str">
        <f aca="false">IF(G279="","",IF(G279&gt;=0.5,"PASS","FIX HOOK"))</f>
        <v/>
      </c>
    </row>
    <row r="280" customFormat="false" ht="15" hidden="false" customHeight="false" outlineLevel="0" collapsed="false">
      <c r="A280" s="33"/>
      <c r="B280" s="33"/>
      <c r="C280" s="33"/>
      <c r="D280" s="33"/>
      <c r="E280" s="33"/>
      <c r="F280" s="34"/>
      <c r="G280" s="35"/>
      <c r="H280" s="34"/>
      <c r="I280" s="34"/>
      <c r="J280" s="34"/>
      <c r="K280" s="34"/>
      <c r="L280" s="31" t="str">
        <f aca="false">IFERROR(H280/F280*1000,"")</f>
        <v/>
      </c>
      <c r="M280" s="31" t="str">
        <f aca="false">IFERROR(I280/F280*1000,"")</f>
        <v/>
      </c>
      <c r="N280" s="32" t="str">
        <f aca="false">IF(G280="","",IF(G280&gt;=0.5,"PASS","FIX HOOK"))</f>
        <v/>
      </c>
    </row>
    <row r="281" customFormat="false" ht="15" hidden="false" customHeight="false" outlineLevel="0" collapsed="false">
      <c r="A281" s="33"/>
      <c r="B281" s="33"/>
      <c r="C281" s="33"/>
      <c r="D281" s="33"/>
      <c r="E281" s="33"/>
      <c r="F281" s="34"/>
      <c r="G281" s="35"/>
      <c r="H281" s="34"/>
      <c r="I281" s="34"/>
      <c r="J281" s="34"/>
      <c r="K281" s="34"/>
      <c r="L281" s="31" t="str">
        <f aca="false">IFERROR(H281/F281*1000,"")</f>
        <v/>
      </c>
      <c r="M281" s="31" t="str">
        <f aca="false">IFERROR(I281/F281*1000,"")</f>
        <v/>
      </c>
      <c r="N281" s="32" t="str">
        <f aca="false">IF(G281="","",IF(G281&gt;=0.5,"PASS","FIX HOOK"))</f>
        <v/>
      </c>
    </row>
    <row r="282" customFormat="false" ht="15" hidden="false" customHeight="false" outlineLevel="0" collapsed="false">
      <c r="A282" s="33"/>
      <c r="B282" s="33"/>
      <c r="C282" s="33"/>
      <c r="D282" s="33"/>
      <c r="E282" s="33"/>
      <c r="F282" s="34"/>
      <c r="G282" s="35"/>
      <c r="H282" s="34"/>
      <c r="I282" s="34"/>
      <c r="J282" s="34"/>
      <c r="K282" s="34"/>
      <c r="L282" s="31" t="str">
        <f aca="false">IFERROR(H282/F282*1000,"")</f>
        <v/>
      </c>
      <c r="M282" s="31" t="str">
        <f aca="false">IFERROR(I282/F282*1000,"")</f>
        <v/>
      </c>
      <c r="N282" s="32" t="str">
        <f aca="false">IF(G282="","",IF(G282&gt;=0.5,"PASS","FIX HOOK"))</f>
        <v/>
      </c>
    </row>
    <row r="283" customFormat="false" ht="15" hidden="false" customHeight="false" outlineLevel="0" collapsed="false">
      <c r="A283" s="33"/>
      <c r="B283" s="33"/>
      <c r="C283" s="33"/>
      <c r="D283" s="33"/>
      <c r="E283" s="33"/>
      <c r="F283" s="34"/>
      <c r="G283" s="35"/>
      <c r="H283" s="34"/>
      <c r="I283" s="34"/>
      <c r="J283" s="34"/>
      <c r="K283" s="34"/>
      <c r="L283" s="31" t="str">
        <f aca="false">IFERROR(H283/F283*1000,"")</f>
        <v/>
      </c>
      <c r="M283" s="31" t="str">
        <f aca="false">IFERROR(I283/F283*1000,"")</f>
        <v/>
      </c>
      <c r="N283" s="32" t="str">
        <f aca="false">IF(G283="","",IF(G283&gt;=0.5,"PASS","FIX HOOK"))</f>
        <v/>
      </c>
    </row>
    <row r="284" customFormat="false" ht="15" hidden="false" customHeight="false" outlineLevel="0" collapsed="false">
      <c r="A284" s="33"/>
      <c r="B284" s="33"/>
      <c r="C284" s="33"/>
      <c r="D284" s="33"/>
      <c r="E284" s="33"/>
      <c r="F284" s="34"/>
      <c r="G284" s="35"/>
      <c r="H284" s="34"/>
      <c r="I284" s="34"/>
      <c r="J284" s="34"/>
      <c r="K284" s="34"/>
      <c r="L284" s="31" t="str">
        <f aca="false">IFERROR(H284/F284*1000,"")</f>
        <v/>
      </c>
      <c r="M284" s="31" t="str">
        <f aca="false">IFERROR(I284/F284*1000,"")</f>
        <v/>
      </c>
      <c r="N284" s="32" t="str">
        <f aca="false">IF(G284="","",IF(G284&gt;=0.5,"PASS","FIX HOOK"))</f>
        <v/>
      </c>
    </row>
    <row r="285" customFormat="false" ht="15" hidden="false" customHeight="false" outlineLevel="0" collapsed="false">
      <c r="A285" s="33"/>
      <c r="B285" s="33"/>
      <c r="C285" s="33"/>
      <c r="D285" s="33"/>
      <c r="E285" s="33"/>
      <c r="F285" s="34"/>
      <c r="G285" s="35"/>
      <c r="H285" s="34"/>
      <c r="I285" s="34"/>
      <c r="J285" s="34"/>
      <c r="K285" s="34"/>
      <c r="L285" s="31" t="str">
        <f aca="false">IFERROR(H285/F285*1000,"")</f>
        <v/>
      </c>
      <c r="M285" s="31" t="str">
        <f aca="false">IFERROR(I285/F285*1000,"")</f>
        <v/>
      </c>
      <c r="N285" s="32" t="str">
        <f aca="false">IF(G285="","",IF(G285&gt;=0.5,"PASS","FIX HOOK"))</f>
        <v/>
      </c>
    </row>
    <row r="286" customFormat="false" ht="15" hidden="false" customHeight="false" outlineLevel="0" collapsed="false">
      <c r="A286" s="33"/>
      <c r="B286" s="33"/>
      <c r="C286" s="33"/>
      <c r="D286" s="33"/>
      <c r="E286" s="33"/>
      <c r="F286" s="34"/>
      <c r="G286" s="35"/>
      <c r="H286" s="34"/>
      <c r="I286" s="34"/>
      <c r="J286" s="34"/>
      <c r="K286" s="34"/>
      <c r="L286" s="31" t="str">
        <f aca="false">IFERROR(H286/F286*1000,"")</f>
        <v/>
      </c>
      <c r="M286" s="31" t="str">
        <f aca="false">IFERROR(I286/F286*1000,"")</f>
        <v/>
      </c>
      <c r="N286" s="32" t="str">
        <f aca="false">IF(G286="","",IF(G286&gt;=0.5,"PASS","FIX HOOK"))</f>
        <v/>
      </c>
    </row>
    <row r="287" customFormat="false" ht="15" hidden="false" customHeight="false" outlineLevel="0" collapsed="false">
      <c r="A287" s="33"/>
      <c r="B287" s="33"/>
      <c r="C287" s="33"/>
      <c r="D287" s="33"/>
      <c r="E287" s="33"/>
      <c r="F287" s="34"/>
      <c r="G287" s="35"/>
      <c r="H287" s="34"/>
      <c r="I287" s="34"/>
      <c r="J287" s="34"/>
      <c r="K287" s="34"/>
      <c r="L287" s="31" t="str">
        <f aca="false">IFERROR(H287/F287*1000,"")</f>
        <v/>
      </c>
      <c r="M287" s="31" t="str">
        <f aca="false">IFERROR(I287/F287*1000,"")</f>
        <v/>
      </c>
      <c r="N287" s="32" t="str">
        <f aca="false">IF(G287="","",IF(G287&gt;=0.5,"PASS","FIX HOOK"))</f>
        <v/>
      </c>
    </row>
    <row r="288" customFormat="false" ht="15" hidden="false" customHeight="false" outlineLevel="0" collapsed="false">
      <c r="A288" s="33"/>
      <c r="B288" s="33"/>
      <c r="C288" s="33"/>
      <c r="D288" s="33"/>
      <c r="E288" s="33"/>
      <c r="F288" s="34"/>
      <c r="G288" s="35"/>
      <c r="H288" s="34"/>
      <c r="I288" s="34"/>
      <c r="J288" s="34"/>
      <c r="K288" s="34"/>
      <c r="L288" s="31" t="str">
        <f aca="false">IFERROR(H288/F288*1000,"")</f>
        <v/>
      </c>
      <c r="M288" s="31" t="str">
        <f aca="false">IFERROR(I288/F288*1000,"")</f>
        <v/>
      </c>
      <c r="N288" s="32" t="str">
        <f aca="false">IF(G288="","",IF(G288&gt;=0.5,"PASS","FIX HOOK"))</f>
        <v/>
      </c>
    </row>
    <row r="289" customFormat="false" ht="15" hidden="false" customHeight="false" outlineLevel="0" collapsed="false">
      <c r="A289" s="33"/>
      <c r="B289" s="33"/>
      <c r="C289" s="33"/>
      <c r="D289" s="33"/>
      <c r="E289" s="33"/>
      <c r="F289" s="34"/>
      <c r="G289" s="35"/>
      <c r="H289" s="34"/>
      <c r="I289" s="34"/>
      <c r="J289" s="34"/>
      <c r="K289" s="34"/>
      <c r="L289" s="31" t="str">
        <f aca="false">IFERROR(H289/F289*1000,"")</f>
        <v/>
      </c>
      <c r="M289" s="31" t="str">
        <f aca="false">IFERROR(I289/F289*1000,"")</f>
        <v/>
      </c>
      <c r="N289" s="32" t="str">
        <f aca="false">IF(G289="","",IF(G289&gt;=0.5,"PASS","FIX HOOK"))</f>
        <v/>
      </c>
    </row>
    <row r="290" customFormat="false" ht="15" hidden="false" customHeight="false" outlineLevel="0" collapsed="false">
      <c r="A290" s="33"/>
      <c r="B290" s="33"/>
      <c r="C290" s="33"/>
      <c r="D290" s="33"/>
      <c r="E290" s="33"/>
      <c r="F290" s="34"/>
      <c r="G290" s="35"/>
      <c r="H290" s="34"/>
      <c r="I290" s="34"/>
      <c r="J290" s="34"/>
      <c r="K290" s="34"/>
      <c r="L290" s="31" t="str">
        <f aca="false">IFERROR(H290/F290*1000,"")</f>
        <v/>
      </c>
      <c r="M290" s="31" t="str">
        <f aca="false">IFERROR(I290/F290*1000,"")</f>
        <v/>
      </c>
      <c r="N290" s="32" t="str">
        <f aca="false">IF(G290="","",IF(G290&gt;=0.5,"PASS","FIX HOOK"))</f>
        <v/>
      </c>
    </row>
    <row r="291" customFormat="false" ht="15" hidden="false" customHeight="false" outlineLevel="0" collapsed="false">
      <c r="A291" s="33"/>
      <c r="B291" s="33"/>
      <c r="C291" s="33"/>
      <c r="D291" s="33"/>
      <c r="E291" s="33"/>
      <c r="F291" s="34"/>
      <c r="G291" s="35"/>
      <c r="H291" s="34"/>
      <c r="I291" s="34"/>
      <c r="J291" s="34"/>
      <c r="K291" s="34"/>
      <c r="L291" s="31" t="str">
        <f aca="false">IFERROR(H291/F291*1000,"")</f>
        <v/>
      </c>
      <c r="M291" s="31" t="str">
        <f aca="false">IFERROR(I291/F291*1000,"")</f>
        <v/>
      </c>
      <c r="N291" s="32" t="str">
        <f aca="false">IF(G291="","",IF(G291&gt;=0.5,"PASS","FIX HOOK"))</f>
        <v/>
      </c>
    </row>
    <row r="292" customFormat="false" ht="15" hidden="false" customHeight="false" outlineLevel="0" collapsed="false">
      <c r="A292" s="33"/>
      <c r="B292" s="33"/>
      <c r="C292" s="33"/>
      <c r="D292" s="33"/>
      <c r="E292" s="33"/>
      <c r="F292" s="34"/>
      <c r="G292" s="35"/>
      <c r="H292" s="34"/>
      <c r="I292" s="34"/>
      <c r="J292" s="34"/>
      <c r="K292" s="34"/>
      <c r="L292" s="31" t="str">
        <f aca="false">IFERROR(H292/F292*1000,"")</f>
        <v/>
      </c>
      <c r="M292" s="31" t="str">
        <f aca="false">IFERROR(I292/F292*1000,"")</f>
        <v/>
      </c>
      <c r="N292" s="32" t="str">
        <f aca="false">IF(G292="","",IF(G292&gt;=0.5,"PASS","FIX HOOK"))</f>
        <v/>
      </c>
    </row>
    <row r="293" customFormat="false" ht="15" hidden="false" customHeight="false" outlineLevel="0" collapsed="false">
      <c r="A293" s="33"/>
      <c r="B293" s="33"/>
      <c r="C293" s="33"/>
      <c r="D293" s="33"/>
      <c r="E293" s="33"/>
      <c r="F293" s="34"/>
      <c r="G293" s="35"/>
      <c r="H293" s="34"/>
      <c r="I293" s="34"/>
      <c r="J293" s="34"/>
      <c r="K293" s="34"/>
      <c r="L293" s="31" t="str">
        <f aca="false">IFERROR(H293/F293*1000,"")</f>
        <v/>
      </c>
      <c r="M293" s="31" t="str">
        <f aca="false">IFERROR(I293/F293*1000,"")</f>
        <v/>
      </c>
      <c r="N293" s="32" t="str">
        <f aca="false">IF(G293="","",IF(G293&gt;=0.5,"PASS","FIX HOOK"))</f>
        <v/>
      </c>
    </row>
    <row r="294" customFormat="false" ht="15" hidden="false" customHeight="false" outlineLevel="0" collapsed="false">
      <c r="A294" s="33"/>
      <c r="B294" s="33"/>
      <c r="C294" s="33"/>
      <c r="D294" s="33"/>
      <c r="E294" s="33"/>
      <c r="F294" s="34"/>
      <c r="G294" s="35"/>
      <c r="H294" s="34"/>
      <c r="I294" s="34"/>
      <c r="J294" s="34"/>
      <c r="K294" s="34"/>
      <c r="L294" s="31" t="str">
        <f aca="false">IFERROR(H294/F294*1000,"")</f>
        <v/>
      </c>
      <c r="M294" s="31" t="str">
        <f aca="false">IFERROR(I294/F294*1000,"")</f>
        <v/>
      </c>
      <c r="N294" s="32" t="str">
        <f aca="false">IF(G294="","",IF(G294&gt;=0.5,"PASS","FIX HOOK"))</f>
        <v/>
      </c>
    </row>
    <row r="295" customFormat="false" ht="15" hidden="false" customHeight="false" outlineLevel="0" collapsed="false">
      <c r="A295" s="33"/>
      <c r="B295" s="33"/>
      <c r="C295" s="33"/>
      <c r="D295" s="33"/>
      <c r="E295" s="33"/>
      <c r="F295" s="34"/>
      <c r="G295" s="35"/>
      <c r="H295" s="34"/>
      <c r="I295" s="34"/>
      <c r="J295" s="34"/>
      <c r="K295" s="34"/>
      <c r="L295" s="31" t="str">
        <f aca="false">IFERROR(H295/F295*1000,"")</f>
        <v/>
      </c>
      <c r="M295" s="31" t="str">
        <f aca="false">IFERROR(I295/F295*1000,"")</f>
        <v/>
      </c>
      <c r="N295" s="32" t="str">
        <f aca="false">IF(G295="","",IF(G295&gt;=0.5,"PASS","FIX HOOK"))</f>
        <v/>
      </c>
    </row>
    <row r="296" customFormat="false" ht="15" hidden="false" customHeight="false" outlineLevel="0" collapsed="false">
      <c r="A296" s="33"/>
      <c r="B296" s="33"/>
      <c r="C296" s="33"/>
      <c r="D296" s="33"/>
      <c r="E296" s="33"/>
      <c r="F296" s="34"/>
      <c r="G296" s="35"/>
      <c r="H296" s="34"/>
      <c r="I296" s="34"/>
      <c r="J296" s="34"/>
      <c r="K296" s="34"/>
      <c r="L296" s="31" t="str">
        <f aca="false">IFERROR(H296/F296*1000,"")</f>
        <v/>
      </c>
      <c r="M296" s="31" t="str">
        <f aca="false">IFERROR(I296/F296*1000,"")</f>
        <v/>
      </c>
      <c r="N296" s="32" t="str">
        <f aca="false">IF(G296="","",IF(G296&gt;=0.5,"PASS","FIX HOOK"))</f>
        <v/>
      </c>
    </row>
    <row r="297" customFormat="false" ht="15" hidden="false" customHeight="false" outlineLevel="0" collapsed="false">
      <c r="A297" s="33"/>
      <c r="B297" s="33"/>
      <c r="C297" s="33"/>
      <c r="D297" s="33"/>
      <c r="E297" s="33"/>
      <c r="F297" s="34"/>
      <c r="G297" s="35"/>
      <c r="H297" s="34"/>
      <c r="I297" s="34"/>
      <c r="J297" s="34"/>
      <c r="K297" s="34"/>
      <c r="L297" s="31" t="str">
        <f aca="false">IFERROR(H297/F297*1000,"")</f>
        <v/>
      </c>
      <c r="M297" s="31" t="str">
        <f aca="false">IFERROR(I297/F297*1000,"")</f>
        <v/>
      </c>
      <c r="N297" s="32" t="str">
        <f aca="false">IF(G297="","",IF(G297&gt;=0.5,"PASS","FIX HOOK"))</f>
        <v/>
      </c>
    </row>
    <row r="298" customFormat="false" ht="15" hidden="false" customHeight="false" outlineLevel="0" collapsed="false">
      <c r="A298" s="33"/>
      <c r="B298" s="33"/>
      <c r="C298" s="33"/>
      <c r="D298" s="33"/>
      <c r="E298" s="33"/>
      <c r="F298" s="34"/>
      <c r="G298" s="35"/>
      <c r="H298" s="34"/>
      <c r="I298" s="34"/>
      <c r="J298" s="34"/>
      <c r="K298" s="34"/>
      <c r="L298" s="31" t="str">
        <f aca="false">IFERROR(H298/F298*1000,"")</f>
        <v/>
      </c>
      <c r="M298" s="31" t="str">
        <f aca="false">IFERROR(I298/F298*1000,"")</f>
        <v/>
      </c>
      <c r="N298" s="32" t="str">
        <f aca="false">IF(G298="","",IF(G298&gt;=0.5,"PASS","FIX HOOK"))</f>
        <v/>
      </c>
    </row>
    <row r="299" customFormat="false" ht="15" hidden="false" customHeight="false" outlineLevel="0" collapsed="false">
      <c r="A299" s="33"/>
      <c r="B299" s="33"/>
      <c r="C299" s="33"/>
      <c r="D299" s="33"/>
      <c r="E299" s="33"/>
      <c r="F299" s="34"/>
      <c r="G299" s="35"/>
      <c r="H299" s="34"/>
      <c r="I299" s="34"/>
      <c r="J299" s="34"/>
      <c r="K299" s="34"/>
      <c r="L299" s="31" t="str">
        <f aca="false">IFERROR(H299/F299*1000,"")</f>
        <v/>
      </c>
      <c r="M299" s="31" t="str">
        <f aca="false">IFERROR(I299/F299*1000,"")</f>
        <v/>
      </c>
      <c r="N299" s="32" t="str">
        <f aca="false">IF(G299="","",IF(G299&gt;=0.5,"PASS","FIX HOOK"))</f>
        <v/>
      </c>
    </row>
    <row r="300" customFormat="false" ht="15" hidden="false" customHeight="false" outlineLevel="0" collapsed="false">
      <c r="A300" s="33"/>
      <c r="B300" s="33"/>
      <c r="C300" s="33"/>
      <c r="D300" s="33"/>
      <c r="E300" s="33"/>
      <c r="F300" s="34"/>
      <c r="G300" s="35"/>
      <c r="H300" s="34"/>
      <c r="I300" s="34"/>
      <c r="J300" s="34"/>
      <c r="K300" s="34"/>
      <c r="L300" s="31" t="str">
        <f aca="false">IFERROR(H300/F300*1000,"")</f>
        <v/>
      </c>
      <c r="M300" s="31" t="str">
        <f aca="false">IFERROR(I300/F300*1000,"")</f>
        <v/>
      </c>
      <c r="N300" s="32" t="str">
        <f aca="false">IF(G300="","",IF(G300&gt;=0.5,"PASS","FIX HOOK"))</f>
        <v/>
      </c>
    </row>
    <row r="301" customFormat="false" ht="15" hidden="false" customHeight="false" outlineLevel="0" collapsed="false">
      <c r="A301" s="33"/>
      <c r="B301" s="33"/>
      <c r="C301" s="33"/>
      <c r="D301" s="33"/>
      <c r="E301" s="33"/>
      <c r="F301" s="34"/>
      <c r="G301" s="35"/>
      <c r="H301" s="34"/>
      <c r="I301" s="34"/>
      <c r="J301" s="34"/>
      <c r="K301" s="34"/>
      <c r="L301" s="31" t="str">
        <f aca="false">IFERROR(H301/F301*1000,"")</f>
        <v/>
      </c>
      <c r="M301" s="31" t="str">
        <f aca="false">IFERROR(I301/F301*1000,"")</f>
        <v/>
      </c>
      <c r="N301" s="32" t="str">
        <f aca="false">IF(G301="","",IF(G301&gt;=0.5,"PASS","FIX HOOK"))</f>
        <v/>
      </c>
    </row>
    <row r="302" customFormat="false" ht="15" hidden="false" customHeight="false" outlineLevel="0" collapsed="false">
      <c r="A302" s="33"/>
      <c r="B302" s="33"/>
      <c r="C302" s="33"/>
      <c r="D302" s="33"/>
      <c r="E302" s="33"/>
      <c r="F302" s="34"/>
      <c r="G302" s="35"/>
      <c r="H302" s="34"/>
      <c r="I302" s="34"/>
      <c r="J302" s="34"/>
      <c r="K302" s="34"/>
      <c r="L302" s="31" t="str">
        <f aca="false">IFERROR(H302/F302*1000,"")</f>
        <v/>
      </c>
      <c r="M302" s="31" t="str">
        <f aca="false">IFERROR(I302/F302*1000,"")</f>
        <v/>
      </c>
      <c r="N302" s="32" t="str">
        <f aca="false">IF(G302="","",IF(G302&gt;=0.5,"PASS","FIX HOOK"))</f>
        <v/>
      </c>
    </row>
    <row r="303" customFormat="false" ht="15" hidden="false" customHeight="false" outlineLevel="0" collapsed="false">
      <c r="A303" s="33"/>
      <c r="B303" s="33"/>
      <c r="C303" s="33"/>
      <c r="D303" s="33"/>
      <c r="E303" s="33"/>
      <c r="F303" s="34"/>
      <c r="G303" s="35"/>
      <c r="H303" s="34"/>
      <c r="I303" s="34"/>
      <c r="J303" s="34"/>
      <c r="K303" s="34"/>
      <c r="L303" s="31" t="str">
        <f aca="false">IFERROR(H303/F303*1000,"")</f>
        <v/>
      </c>
      <c r="M303" s="31" t="str">
        <f aca="false">IFERROR(I303/F303*1000,"")</f>
        <v/>
      </c>
      <c r="N303" s="32" t="str">
        <f aca="false">IF(G303="","",IF(G303&gt;=0.5,"PASS","FIX HOOK"))</f>
        <v/>
      </c>
    </row>
    <row r="304" customFormat="false" ht="15" hidden="false" customHeight="false" outlineLevel="0" collapsed="false">
      <c r="A304" s="33"/>
      <c r="B304" s="33"/>
      <c r="C304" s="33"/>
      <c r="D304" s="33"/>
      <c r="E304" s="33"/>
      <c r="F304" s="34"/>
      <c r="G304" s="35"/>
      <c r="H304" s="34"/>
      <c r="I304" s="34"/>
      <c r="J304" s="34"/>
      <c r="K304" s="34"/>
      <c r="L304" s="31" t="str">
        <f aca="false">IFERROR(H304/F304*1000,"")</f>
        <v/>
      </c>
      <c r="M304" s="31" t="str">
        <f aca="false">IFERROR(I304/F304*1000,"")</f>
        <v/>
      </c>
      <c r="N304" s="32" t="str">
        <f aca="false">IF(G304="","",IF(G304&gt;=0.5,"PASS","FIX HOOK"))</f>
        <v/>
      </c>
    </row>
    <row r="305" customFormat="false" ht="15" hidden="false" customHeight="false" outlineLevel="0" collapsed="false">
      <c r="A305" s="33"/>
      <c r="B305" s="33"/>
      <c r="C305" s="33"/>
      <c r="D305" s="33"/>
      <c r="E305" s="33"/>
      <c r="F305" s="34"/>
      <c r="G305" s="35"/>
      <c r="H305" s="34"/>
      <c r="I305" s="34"/>
      <c r="J305" s="34"/>
      <c r="K305" s="34"/>
      <c r="L305" s="31" t="str">
        <f aca="false">IFERROR(H305/F305*1000,"")</f>
        <v/>
      </c>
      <c r="M305" s="31" t="str">
        <f aca="false">IFERROR(I305/F305*1000,"")</f>
        <v/>
      </c>
      <c r="N305" s="32" t="str">
        <f aca="false">IF(G305="","",IF(G305&gt;=0.5,"PASS","FIX HOOK"))</f>
        <v/>
      </c>
    </row>
    <row r="306" customFormat="false" ht="15" hidden="false" customHeight="false" outlineLevel="0" collapsed="false">
      <c r="A306" s="33"/>
      <c r="B306" s="33"/>
      <c r="C306" s="33"/>
      <c r="D306" s="33"/>
      <c r="E306" s="33"/>
      <c r="F306" s="34"/>
      <c r="G306" s="35"/>
      <c r="H306" s="34"/>
      <c r="I306" s="34"/>
      <c r="J306" s="34"/>
      <c r="K306" s="34"/>
      <c r="L306" s="31" t="str">
        <f aca="false">IFERROR(H306/F306*1000,"")</f>
        <v/>
      </c>
      <c r="M306" s="31" t="str">
        <f aca="false">IFERROR(I306/F306*1000,"")</f>
        <v/>
      </c>
      <c r="N306" s="32" t="str">
        <f aca="false">IF(G306="","",IF(G306&gt;=0.5,"PASS","FIX HOOK"))</f>
        <v/>
      </c>
    </row>
    <row r="307" customFormat="false" ht="15" hidden="false" customHeight="false" outlineLevel="0" collapsed="false">
      <c r="A307" s="33"/>
      <c r="B307" s="33"/>
      <c r="C307" s="33"/>
      <c r="D307" s="33"/>
      <c r="E307" s="33"/>
      <c r="F307" s="34"/>
      <c r="G307" s="35"/>
      <c r="H307" s="34"/>
      <c r="I307" s="34"/>
      <c r="J307" s="34"/>
      <c r="K307" s="34"/>
      <c r="L307" s="31" t="str">
        <f aca="false">IFERROR(H307/F307*1000,"")</f>
        <v/>
      </c>
      <c r="M307" s="31" t="str">
        <f aca="false">IFERROR(I307/F307*1000,"")</f>
        <v/>
      </c>
      <c r="N307" s="32" t="str">
        <f aca="false">IF(G307="","",IF(G307&gt;=0.5,"PASS","FIX HOOK"))</f>
        <v/>
      </c>
    </row>
    <row r="308" customFormat="false" ht="15" hidden="false" customHeight="false" outlineLevel="0" collapsed="false">
      <c r="A308" s="33"/>
      <c r="B308" s="33"/>
      <c r="C308" s="33"/>
      <c r="D308" s="33"/>
      <c r="E308" s="33"/>
      <c r="F308" s="34"/>
      <c r="G308" s="35"/>
      <c r="H308" s="34"/>
      <c r="I308" s="34"/>
      <c r="J308" s="34"/>
      <c r="K308" s="34"/>
      <c r="L308" s="31" t="str">
        <f aca="false">IFERROR(H308/F308*1000,"")</f>
        <v/>
      </c>
      <c r="M308" s="31" t="str">
        <f aca="false">IFERROR(I308/F308*1000,"")</f>
        <v/>
      </c>
      <c r="N308" s="32" t="str">
        <f aca="false">IF(G308="","",IF(G308&gt;=0.5,"PASS","FIX HOOK"))</f>
        <v/>
      </c>
    </row>
    <row r="309" customFormat="false" ht="15" hidden="false" customHeight="false" outlineLevel="0" collapsed="false">
      <c r="A309" s="33"/>
      <c r="B309" s="33"/>
      <c r="C309" s="33"/>
      <c r="D309" s="33"/>
      <c r="E309" s="33"/>
      <c r="F309" s="34"/>
      <c r="G309" s="35"/>
      <c r="H309" s="34"/>
      <c r="I309" s="34"/>
      <c r="J309" s="34"/>
      <c r="K309" s="34"/>
      <c r="L309" s="31" t="str">
        <f aca="false">IFERROR(H309/F309*1000,"")</f>
        <v/>
      </c>
      <c r="M309" s="31" t="str">
        <f aca="false">IFERROR(I309/F309*1000,"")</f>
        <v/>
      </c>
      <c r="N309" s="32" t="str">
        <f aca="false">IF(G309="","",IF(G309&gt;=0.5,"PASS","FIX HOOK"))</f>
        <v/>
      </c>
    </row>
    <row r="310" customFormat="false" ht="15" hidden="false" customHeight="false" outlineLevel="0" collapsed="false">
      <c r="A310" s="33"/>
      <c r="B310" s="33"/>
      <c r="C310" s="33"/>
      <c r="D310" s="33"/>
      <c r="E310" s="33"/>
      <c r="F310" s="34"/>
      <c r="G310" s="35"/>
      <c r="H310" s="34"/>
      <c r="I310" s="34"/>
      <c r="J310" s="34"/>
      <c r="K310" s="34"/>
      <c r="L310" s="31" t="str">
        <f aca="false">IFERROR(H310/F310*1000,"")</f>
        <v/>
      </c>
      <c r="M310" s="31" t="str">
        <f aca="false">IFERROR(I310/F310*1000,"")</f>
        <v/>
      </c>
      <c r="N310" s="32" t="str">
        <f aca="false">IF(G310="","",IF(G310&gt;=0.5,"PASS","FIX HOOK"))</f>
        <v/>
      </c>
    </row>
    <row r="311" customFormat="false" ht="15" hidden="false" customHeight="false" outlineLevel="0" collapsed="false">
      <c r="A311" s="33"/>
      <c r="B311" s="33"/>
      <c r="C311" s="33"/>
      <c r="D311" s="33"/>
      <c r="E311" s="33"/>
      <c r="F311" s="34"/>
      <c r="G311" s="35"/>
      <c r="H311" s="34"/>
      <c r="I311" s="34"/>
      <c r="J311" s="34"/>
      <c r="K311" s="34"/>
      <c r="L311" s="31" t="str">
        <f aca="false">IFERROR(H311/F311*1000,"")</f>
        <v/>
      </c>
      <c r="M311" s="31" t="str">
        <f aca="false">IFERROR(I311/F311*1000,"")</f>
        <v/>
      </c>
      <c r="N311" s="32" t="str">
        <f aca="false">IF(G311="","",IF(G311&gt;=0.5,"PASS","FIX HOOK"))</f>
        <v/>
      </c>
    </row>
    <row r="312" customFormat="false" ht="15" hidden="false" customHeight="false" outlineLevel="0" collapsed="false">
      <c r="A312" s="33"/>
      <c r="B312" s="33"/>
      <c r="C312" s="33"/>
      <c r="D312" s="33"/>
      <c r="E312" s="33"/>
      <c r="F312" s="34"/>
      <c r="G312" s="35"/>
      <c r="H312" s="34"/>
      <c r="I312" s="34"/>
      <c r="J312" s="34"/>
      <c r="K312" s="34"/>
      <c r="L312" s="31" t="str">
        <f aca="false">IFERROR(H312/F312*1000,"")</f>
        <v/>
      </c>
      <c r="M312" s="31" t="str">
        <f aca="false">IFERROR(I312/F312*1000,"")</f>
        <v/>
      </c>
      <c r="N312" s="32" t="str">
        <f aca="false">IF(G312="","",IF(G312&gt;=0.5,"PASS","FIX HOOK"))</f>
        <v/>
      </c>
    </row>
    <row r="313" customFormat="false" ht="15" hidden="false" customHeight="false" outlineLevel="0" collapsed="false">
      <c r="A313" s="33"/>
      <c r="B313" s="33"/>
      <c r="C313" s="33"/>
      <c r="D313" s="33"/>
      <c r="E313" s="33"/>
      <c r="F313" s="34"/>
      <c r="G313" s="35"/>
      <c r="H313" s="34"/>
      <c r="I313" s="34"/>
      <c r="J313" s="34"/>
      <c r="K313" s="34"/>
      <c r="L313" s="31" t="str">
        <f aca="false">IFERROR(H313/F313*1000,"")</f>
        <v/>
      </c>
      <c r="M313" s="31" t="str">
        <f aca="false">IFERROR(I313/F313*1000,"")</f>
        <v/>
      </c>
      <c r="N313" s="32" t="str">
        <f aca="false">IF(G313="","",IF(G313&gt;=0.5,"PASS","FIX HOOK"))</f>
        <v/>
      </c>
    </row>
    <row r="314" customFormat="false" ht="15" hidden="false" customHeight="false" outlineLevel="0" collapsed="false">
      <c r="A314" s="33"/>
      <c r="B314" s="33"/>
      <c r="C314" s="33"/>
      <c r="D314" s="33"/>
      <c r="E314" s="33"/>
      <c r="F314" s="34"/>
      <c r="G314" s="35"/>
      <c r="H314" s="34"/>
      <c r="I314" s="34"/>
      <c r="J314" s="34"/>
      <c r="K314" s="34"/>
      <c r="L314" s="31" t="str">
        <f aca="false">IFERROR(H314/F314*1000,"")</f>
        <v/>
      </c>
      <c r="M314" s="31" t="str">
        <f aca="false">IFERROR(I314/F314*1000,"")</f>
        <v/>
      </c>
      <c r="N314" s="32" t="str">
        <f aca="false">IF(G314="","",IF(G314&gt;=0.5,"PASS","FIX HOOK"))</f>
        <v/>
      </c>
    </row>
    <row r="315" customFormat="false" ht="15" hidden="false" customHeight="false" outlineLevel="0" collapsed="false">
      <c r="A315" s="33"/>
      <c r="B315" s="33"/>
      <c r="C315" s="33"/>
      <c r="D315" s="33"/>
      <c r="E315" s="33"/>
      <c r="F315" s="34"/>
      <c r="G315" s="35"/>
      <c r="H315" s="34"/>
      <c r="I315" s="34"/>
      <c r="J315" s="34"/>
      <c r="K315" s="34"/>
      <c r="L315" s="31" t="str">
        <f aca="false">IFERROR(H315/F315*1000,"")</f>
        <v/>
      </c>
      <c r="M315" s="31" t="str">
        <f aca="false">IFERROR(I315/F315*1000,"")</f>
        <v/>
      </c>
      <c r="N315" s="32" t="str">
        <f aca="false">IF(G315="","",IF(G315&gt;=0.5,"PASS","FIX HOOK"))</f>
        <v/>
      </c>
    </row>
    <row r="316" customFormat="false" ht="15" hidden="false" customHeight="false" outlineLevel="0" collapsed="false">
      <c r="A316" s="33"/>
      <c r="B316" s="33"/>
      <c r="C316" s="33"/>
      <c r="D316" s="33"/>
      <c r="E316" s="33"/>
      <c r="F316" s="34"/>
      <c r="G316" s="35"/>
      <c r="H316" s="34"/>
      <c r="I316" s="34"/>
      <c r="J316" s="34"/>
      <c r="K316" s="34"/>
      <c r="L316" s="31" t="str">
        <f aca="false">IFERROR(H316/F316*1000,"")</f>
        <v/>
      </c>
      <c r="M316" s="31" t="str">
        <f aca="false">IFERROR(I316/F316*1000,"")</f>
        <v/>
      </c>
      <c r="N316" s="32" t="str">
        <f aca="false">IF(G316="","",IF(G316&gt;=0.5,"PASS","FIX HOOK"))</f>
        <v/>
      </c>
    </row>
    <row r="317" customFormat="false" ht="15" hidden="false" customHeight="false" outlineLevel="0" collapsed="false">
      <c r="A317" s="33"/>
      <c r="B317" s="33"/>
      <c r="C317" s="33"/>
      <c r="D317" s="33"/>
      <c r="E317" s="33"/>
      <c r="F317" s="34"/>
      <c r="G317" s="35"/>
      <c r="H317" s="34"/>
      <c r="I317" s="34"/>
      <c r="J317" s="34"/>
      <c r="K317" s="34"/>
      <c r="L317" s="31" t="str">
        <f aca="false">IFERROR(H317/F317*1000,"")</f>
        <v/>
      </c>
      <c r="M317" s="31" t="str">
        <f aca="false">IFERROR(I317/F317*1000,"")</f>
        <v/>
      </c>
      <c r="N317" s="32" t="str">
        <f aca="false">IF(G317="","",IF(G317&gt;=0.5,"PASS","FIX HOOK"))</f>
        <v/>
      </c>
    </row>
    <row r="318" customFormat="false" ht="15" hidden="false" customHeight="false" outlineLevel="0" collapsed="false">
      <c r="A318" s="33"/>
      <c r="B318" s="33"/>
      <c r="C318" s="33"/>
      <c r="D318" s="33"/>
      <c r="E318" s="33"/>
      <c r="F318" s="34"/>
      <c r="G318" s="35"/>
      <c r="H318" s="34"/>
      <c r="I318" s="34"/>
      <c r="J318" s="34"/>
      <c r="K318" s="34"/>
      <c r="L318" s="31" t="str">
        <f aca="false">IFERROR(H318/F318*1000,"")</f>
        <v/>
      </c>
      <c r="M318" s="31" t="str">
        <f aca="false">IFERROR(I318/F318*1000,"")</f>
        <v/>
      </c>
      <c r="N318" s="32" t="str">
        <f aca="false">IF(G318="","",IF(G318&gt;=0.5,"PASS","FIX HOOK"))</f>
        <v/>
      </c>
    </row>
    <row r="319" customFormat="false" ht="15" hidden="false" customHeight="false" outlineLevel="0" collapsed="false">
      <c r="A319" s="33"/>
      <c r="B319" s="33"/>
      <c r="C319" s="33"/>
      <c r="D319" s="33"/>
      <c r="E319" s="33"/>
      <c r="F319" s="34"/>
      <c r="G319" s="35"/>
      <c r="H319" s="34"/>
      <c r="I319" s="34"/>
      <c r="J319" s="34"/>
      <c r="K319" s="34"/>
      <c r="L319" s="31" t="str">
        <f aca="false">IFERROR(H319/F319*1000,"")</f>
        <v/>
      </c>
      <c r="M319" s="31" t="str">
        <f aca="false">IFERROR(I319/F319*1000,"")</f>
        <v/>
      </c>
      <c r="N319" s="32" t="str">
        <f aca="false">IF(G319="","",IF(G319&gt;=0.5,"PASS","FIX HOOK"))</f>
        <v/>
      </c>
    </row>
    <row r="320" customFormat="false" ht="15" hidden="false" customHeight="false" outlineLevel="0" collapsed="false">
      <c r="A320" s="33"/>
      <c r="B320" s="33"/>
      <c r="C320" s="33"/>
      <c r="D320" s="33"/>
      <c r="E320" s="33"/>
      <c r="F320" s="34"/>
      <c r="G320" s="35"/>
      <c r="H320" s="34"/>
      <c r="I320" s="34"/>
      <c r="J320" s="34"/>
      <c r="K320" s="34"/>
      <c r="L320" s="31" t="str">
        <f aca="false">IFERROR(H320/F320*1000,"")</f>
        <v/>
      </c>
      <c r="M320" s="31" t="str">
        <f aca="false">IFERROR(I320/F320*1000,"")</f>
        <v/>
      </c>
      <c r="N320" s="32" t="str">
        <f aca="false">IF(G320="","",IF(G320&gt;=0.5,"PASS","FIX HOOK"))</f>
        <v/>
      </c>
    </row>
    <row r="321" customFormat="false" ht="15" hidden="false" customHeight="false" outlineLevel="0" collapsed="false">
      <c r="A321" s="33"/>
      <c r="B321" s="33"/>
      <c r="C321" s="33"/>
      <c r="D321" s="33"/>
      <c r="E321" s="33"/>
      <c r="F321" s="34"/>
      <c r="G321" s="35"/>
      <c r="H321" s="34"/>
      <c r="I321" s="34"/>
      <c r="J321" s="34"/>
      <c r="K321" s="34"/>
      <c r="L321" s="31" t="str">
        <f aca="false">IFERROR(H321/F321*1000,"")</f>
        <v/>
      </c>
      <c r="M321" s="31" t="str">
        <f aca="false">IFERROR(I321/F321*1000,"")</f>
        <v/>
      </c>
      <c r="N321" s="32" t="str">
        <f aca="false">IF(G321="","",IF(G321&gt;=0.5,"PASS","FIX HOOK"))</f>
        <v/>
      </c>
    </row>
    <row r="322" customFormat="false" ht="15" hidden="false" customHeight="false" outlineLevel="0" collapsed="false">
      <c r="A322" s="33"/>
      <c r="B322" s="33"/>
      <c r="C322" s="33"/>
      <c r="D322" s="33"/>
      <c r="E322" s="33"/>
      <c r="F322" s="34"/>
      <c r="G322" s="35"/>
      <c r="H322" s="34"/>
      <c r="I322" s="34"/>
      <c r="J322" s="34"/>
      <c r="K322" s="34"/>
      <c r="L322" s="31" t="str">
        <f aca="false">IFERROR(H322/F322*1000,"")</f>
        <v/>
      </c>
      <c r="M322" s="31" t="str">
        <f aca="false">IFERROR(I322/F322*1000,"")</f>
        <v/>
      </c>
      <c r="N322" s="32" t="str">
        <f aca="false">IF(G322="","",IF(G322&gt;=0.5,"PASS","FIX HOOK"))</f>
        <v/>
      </c>
    </row>
    <row r="323" customFormat="false" ht="15" hidden="false" customHeight="false" outlineLevel="0" collapsed="false">
      <c r="A323" s="33"/>
      <c r="B323" s="33"/>
      <c r="C323" s="33"/>
      <c r="D323" s="33"/>
      <c r="E323" s="33"/>
      <c r="F323" s="34"/>
      <c r="G323" s="35"/>
      <c r="H323" s="34"/>
      <c r="I323" s="34"/>
      <c r="J323" s="34"/>
      <c r="K323" s="34"/>
      <c r="L323" s="31" t="str">
        <f aca="false">IFERROR(H323/F323*1000,"")</f>
        <v/>
      </c>
      <c r="M323" s="31" t="str">
        <f aca="false">IFERROR(I323/F323*1000,"")</f>
        <v/>
      </c>
      <c r="N323" s="32" t="str">
        <f aca="false">IF(G323="","",IF(G323&gt;=0.5,"PASS","FIX HOOK"))</f>
        <v/>
      </c>
    </row>
    <row r="324" customFormat="false" ht="15" hidden="false" customHeight="false" outlineLevel="0" collapsed="false">
      <c r="A324" s="33"/>
      <c r="B324" s="33"/>
      <c r="C324" s="33"/>
      <c r="D324" s="33"/>
      <c r="E324" s="33"/>
      <c r="F324" s="34"/>
      <c r="G324" s="35"/>
      <c r="H324" s="34"/>
      <c r="I324" s="34"/>
      <c r="J324" s="34"/>
      <c r="K324" s="34"/>
      <c r="L324" s="31" t="str">
        <f aca="false">IFERROR(H324/F324*1000,"")</f>
        <v/>
      </c>
      <c r="M324" s="31" t="str">
        <f aca="false">IFERROR(I324/F324*1000,"")</f>
        <v/>
      </c>
      <c r="N324" s="32" t="str">
        <f aca="false">IF(G324="","",IF(G324&gt;=0.5,"PASS","FIX HOOK"))</f>
        <v/>
      </c>
    </row>
    <row r="325" customFormat="false" ht="15" hidden="false" customHeight="false" outlineLevel="0" collapsed="false">
      <c r="A325" s="33"/>
      <c r="B325" s="33"/>
      <c r="C325" s="33"/>
      <c r="D325" s="33"/>
      <c r="E325" s="33"/>
      <c r="F325" s="34"/>
      <c r="G325" s="35"/>
      <c r="H325" s="34"/>
      <c r="I325" s="34"/>
      <c r="J325" s="34"/>
      <c r="K325" s="34"/>
      <c r="L325" s="31" t="str">
        <f aca="false">IFERROR(H325/F325*1000,"")</f>
        <v/>
      </c>
      <c r="M325" s="31" t="str">
        <f aca="false">IFERROR(I325/F325*1000,"")</f>
        <v/>
      </c>
      <c r="N325" s="32" t="str">
        <f aca="false">IF(G325="","",IF(G325&gt;=0.5,"PASS","FIX HOOK"))</f>
        <v/>
      </c>
    </row>
    <row r="326" customFormat="false" ht="15" hidden="false" customHeight="false" outlineLevel="0" collapsed="false">
      <c r="A326" s="33"/>
      <c r="B326" s="33"/>
      <c r="C326" s="33"/>
      <c r="D326" s="33"/>
      <c r="E326" s="33"/>
      <c r="F326" s="34"/>
      <c r="G326" s="35"/>
      <c r="H326" s="34"/>
      <c r="I326" s="34"/>
      <c r="J326" s="34"/>
      <c r="K326" s="34"/>
      <c r="L326" s="31" t="str">
        <f aca="false">IFERROR(H326/F326*1000,"")</f>
        <v/>
      </c>
      <c r="M326" s="31" t="str">
        <f aca="false">IFERROR(I326/F326*1000,"")</f>
        <v/>
      </c>
      <c r="N326" s="32" t="str">
        <f aca="false">IF(G326="","",IF(G326&gt;=0.5,"PASS","FIX HOOK"))</f>
        <v/>
      </c>
    </row>
    <row r="327" customFormat="false" ht="15" hidden="false" customHeight="false" outlineLevel="0" collapsed="false">
      <c r="A327" s="33"/>
      <c r="B327" s="33"/>
      <c r="C327" s="33"/>
      <c r="D327" s="33"/>
      <c r="E327" s="33"/>
      <c r="F327" s="34"/>
      <c r="G327" s="35"/>
      <c r="H327" s="34"/>
      <c r="I327" s="34"/>
      <c r="J327" s="34"/>
      <c r="K327" s="34"/>
      <c r="L327" s="31" t="str">
        <f aca="false">IFERROR(H327/F327*1000,"")</f>
        <v/>
      </c>
      <c r="M327" s="31" t="str">
        <f aca="false">IFERROR(I327/F327*1000,"")</f>
        <v/>
      </c>
      <c r="N327" s="32" t="str">
        <f aca="false">IF(G327="","",IF(G327&gt;=0.5,"PASS","FIX HOOK"))</f>
        <v/>
      </c>
    </row>
    <row r="328" customFormat="false" ht="15" hidden="false" customHeight="false" outlineLevel="0" collapsed="false">
      <c r="A328" s="33"/>
      <c r="B328" s="33"/>
      <c r="C328" s="33"/>
      <c r="D328" s="33"/>
      <c r="E328" s="33"/>
      <c r="F328" s="34"/>
      <c r="G328" s="35"/>
      <c r="H328" s="34"/>
      <c r="I328" s="34"/>
      <c r="J328" s="34"/>
      <c r="K328" s="34"/>
      <c r="L328" s="31" t="str">
        <f aca="false">IFERROR(H328/F328*1000,"")</f>
        <v/>
      </c>
      <c r="M328" s="31" t="str">
        <f aca="false">IFERROR(I328/F328*1000,"")</f>
        <v/>
      </c>
      <c r="N328" s="32" t="str">
        <f aca="false">IF(G328="","",IF(G328&gt;=0.5,"PASS","FIX HOOK"))</f>
        <v/>
      </c>
    </row>
    <row r="329" customFormat="false" ht="15" hidden="false" customHeight="false" outlineLevel="0" collapsed="false">
      <c r="A329" s="33"/>
      <c r="B329" s="33"/>
      <c r="C329" s="33"/>
      <c r="D329" s="33"/>
      <c r="E329" s="33"/>
      <c r="F329" s="34"/>
      <c r="G329" s="35"/>
      <c r="H329" s="34"/>
      <c r="I329" s="34"/>
      <c r="J329" s="34"/>
      <c r="K329" s="34"/>
      <c r="L329" s="31" t="str">
        <f aca="false">IFERROR(H329/F329*1000,"")</f>
        <v/>
      </c>
      <c r="M329" s="31" t="str">
        <f aca="false">IFERROR(I329/F329*1000,"")</f>
        <v/>
      </c>
      <c r="N329" s="32" t="str">
        <f aca="false">IF(G329="","",IF(G329&gt;=0.5,"PASS","FIX HOOK"))</f>
        <v/>
      </c>
    </row>
    <row r="330" customFormat="false" ht="15" hidden="false" customHeight="false" outlineLevel="0" collapsed="false">
      <c r="A330" s="33"/>
      <c r="B330" s="33"/>
      <c r="C330" s="33"/>
      <c r="D330" s="33"/>
      <c r="E330" s="33"/>
      <c r="F330" s="34"/>
      <c r="G330" s="35"/>
      <c r="H330" s="34"/>
      <c r="I330" s="34"/>
      <c r="J330" s="34"/>
      <c r="K330" s="34"/>
      <c r="L330" s="31" t="str">
        <f aca="false">IFERROR(H330/F330*1000,"")</f>
        <v/>
      </c>
      <c r="M330" s="31" t="str">
        <f aca="false">IFERROR(I330/F330*1000,"")</f>
        <v/>
      </c>
      <c r="N330" s="32" t="str">
        <f aca="false">IF(G330="","",IF(G330&gt;=0.5,"PASS","FIX HOOK"))</f>
        <v/>
      </c>
    </row>
    <row r="331" customFormat="false" ht="15" hidden="false" customHeight="false" outlineLevel="0" collapsed="false">
      <c r="A331" s="33"/>
      <c r="B331" s="33"/>
      <c r="C331" s="33"/>
      <c r="D331" s="33"/>
      <c r="E331" s="33"/>
      <c r="F331" s="34"/>
      <c r="G331" s="35"/>
      <c r="H331" s="34"/>
      <c r="I331" s="34"/>
      <c r="J331" s="34"/>
      <c r="K331" s="34"/>
      <c r="L331" s="31" t="str">
        <f aca="false">IFERROR(H331/F331*1000,"")</f>
        <v/>
      </c>
      <c r="M331" s="31" t="str">
        <f aca="false">IFERROR(I331/F331*1000,"")</f>
        <v/>
      </c>
      <c r="N331" s="32" t="str">
        <f aca="false">IF(G331="","",IF(G331&gt;=0.5,"PASS","FIX HOOK"))</f>
        <v/>
      </c>
    </row>
    <row r="332" customFormat="false" ht="15" hidden="false" customHeight="false" outlineLevel="0" collapsed="false">
      <c r="A332" s="33"/>
      <c r="B332" s="33"/>
      <c r="C332" s="33"/>
      <c r="D332" s="33"/>
      <c r="E332" s="33"/>
      <c r="F332" s="34"/>
      <c r="G332" s="35"/>
      <c r="H332" s="34"/>
      <c r="I332" s="34"/>
      <c r="J332" s="34"/>
      <c r="K332" s="34"/>
      <c r="L332" s="31" t="str">
        <f aca="false">IFERROR(H332/F332*1000,"")</f>
        <v/>
      </c>
      <c r="M332" s="31" t="str">
        <f aca="false">IFERROR(I332/F332*1000,"")</f>
        <v/>
      </c>
      <c r="N332" s="32" t="str">
        <f aca="false">IF(G332="","",IF(G332&gt;=0.5,"PASS","FIX HOOK"))</f>
        <v/>
      </c>
    </row>
    <row r="333" customFormat="false" ht="15" hidden="false" customHeight="false" outlineLevel="0" collapsed="false">
      <c r="A333" s="33"/>
      <c r="B333" s="33"/>
      <c r="C333" s="33"/>
      <c r="D333" s="33"/>
      <c r="E333" s="33"/>
      <c r="F333" s="34"/>
      <c r="G333" s="35"/>
      <c r="H333" s="34"/>
      <c r="I333" s="34"/>
      <c r="J333" s="34"/>
      <c r="K333" s="34"/>
      <c r="L333" s="31" t="str">
        <f aca="false">IFERROR(H333/F333*1000,"")</f>
        <v/>
      </c>
      <c r="M333" s="31" t="str">
        <f aca="false">IFERROR(I333/F333*1000,"")</f>
        <v/>
      </c>
      <c r="N333" s="32" t="str">
        <f aca="false">IF(G333="","",IF(G333&gt;=0.5,"PASS","FIX HOOK"))</f>
        <v/>
      </c>
    </row>
    <row r="334" customFormat="false" ht="15" hidden="false" customHeight="false" outlineLevel="0" collapsed="false">
      <c r="A334" s="33"/>
      <c r="B334" s="33"/>
      <c r="C334" s="33"/>
      <c r="D334" s="33"/>
      <c r="E334" s="33"/>
      <c r="F334" s="34"/>
      <c r="G334" s="35"/>
      <c r="H334" s="34"/>
      <c r="I334" s="34"/>
      <c r="J334" s="34"/>
      <c r="K334" s="34"/>
      <c r="L334" s="31" t="str">
        <f aca="false">IFERROR(H334/F334*1000,"")</f>
        <v/>
      </c>
      <c r="M334" s="31" t="str">
        <f aca="false">IFERROR(I334/F334*1000,"")</f>
        <v/>
      </c>
      <c r="N334" s="32" t="str">
        <f aca="false">IF(G334="","",IF(G334&gt;=0.5,"PASS","FIX HOOK"))</f>
        <v/>
      </c>
    </row>
    <row r="335" customFormat="false" ht="15" hidden="false" customHeight="false" outlineLevel="0" collapsed="false">
      <c r="A335" s="33"/>
      <c r="B335" s="33"/>
      <c r="C335" s="33"/>
      <c r="D335" s="33"/>
      <c r="E335" s="33"/>
      <c r="F335" s="34"/>
      <c r="G335" s="35"/>
      <c r="H335" s="34"/>
      <c r="I335" s="34"/>
      <c r="J335" s="34"/>
      <c r="K335" s="34"/>
      <c r="L335" s="31" t="str">
        <f aca="false">IFERROR(H335/F335*1000,"")</f>
        <v/>
      </c>
      <c r="M335" s="31" t="str">
        <f aca="false">IFERROR(I335/F335*1000,"")</f>
        <v/>
      </c>
      <c r="N335" s="32" t="str">
        <f aca="false">IF(G335="","",IF(G335&gt;=0.5,"PASS","FIX HOOK"))</f>
        <v/>
      </c>
    </row>
    <row r="336" customFormat="false" ht="15" hidden="false" customHeight="false" outlineLevel="0" collapsed="false">
      <c r="A336" s="33"/>
      <c r="B336" s="33"/>
      <c r="C336" s="33"/>
      <c r="D336" s="33"/>
      <c r="E336" s="33"/>
      <c r="F336" s="34"/>
      <c r="G336" s="35"/>
      <c r="H336" s="34"/>
      <c r="I336" s="34"/>
      <c r="J336" s="34"/>
      <c r="K336" s="34"/>
      <c r="L336" s="31" t="str">
        <f aca="false">IFERROR(H336/F336*1000,"")</f>
        <v/>
      </c>
      <c r="M336" s="31" t="str">
        <f aca="false">IFERROR(I336/F336*1000,"")</f>
        <v/>
      </c>
      <c r="N336" s="32" t="str">
        <f aca="false">IF(G336="","",IF(G336&gt;=0.5,"PASS","FIX HOOK"))</f>
        <v/>
      </c>
    </row>
    <row r="337" customFormat="false" ht="15" hidden="false" customHeight="false" outlineLevel="0" collapsed="false">
      <c r="A337" s="33"/>
      <c r="B337" s="33"/>
      <c r="C337" s="33"/>
      <c r="D337" s="33"/>
      <c r="E337" s="33"/>
      <c r="F337" s="34"/>
      <c r="G337" s="35"/>
      <c r="H337" s="34"/>
      <c r="I337" s="34"/>
      <c r="J337" s="34"/>
      <c r="K337" s="34"/>
      <c r="L337" s="31" t="str">
        <f aca="false">IFERROR(H337/F337*1000,"")</f>
        <v/>
      </c>
      <c r="M337" s="31" t="str">
        <f aca="false">IFERROR(I337/F337*1000,"")</f>
        <v/>
      </c>
      <c r="N337" s="32" t="str">
        <f aca="false">IF(G337="","",IF(G337&gt;=0.5,"PASS","FIX HOOK"))</f>
        <v/>
      </c>
    </row>
    <row r="338" customFormat="false" ht="15" hidden="false" customHeight="false" outlineLevel="0" collapsed="false">
      <c r="A338" s="33"/>
      <c r="B338" s="33"/>
      <c r="C338" s="33"/>
      <c r="D338" s="33"/>
      <c r="E338" s="33"/>
      <c r="F338" s="34"/>
      <c r="G338" s="35"/>
      <c r="H338" s="34"/>
      <c r="I338" s="34"/>
      <c r="J338" s="34"/>
      <c r="K338" s="34"/>
      <c r="L338" s="31" t="str">
        <f aca="false">IFERROR(H338/F338*1000,"")</f>
        <v/>
      </c>
      <c r="M338" s="31" t="str">
        <f aca="false">IFERROR(I338/F338*1000,"")</f>
        <v/>
      </c>
      <c r="N338" s="32" t="str">
        <f aca="false">IF(G338="","",IF(G338&gt;=0.5,"PASS","FIX HOOK"))</f>
        <v/>
      </c>
    </row>
    <row r="339" customFormat="false" ht="15" hidden="false" customHeight="false" outlineLevel="0" collapsed="false">
      <c r="A339" s="33"/>
      <c r="B339" s="33"/>
      <c r="C339" s="33"/>
      <c r="D339" s="33"/>
      <c r="E339" s="33"/>
      <c r="F339" s="34"/>
      <c r="G339" s="35"/>
      <c r="H339" s="34"/>
      <c r="I339" s="34"/>
      <c r="J339" s="34"/>
      <c r="K339" s="34"/>
      <c r="L339" s="31" t="str">
        <f aca="false">IFERROR(H339/F339*1000,"")</f>
        <v/>
      </c>
      <c r="M339" s="31" t="str">
        <f aca="false">IFERROR(I339/F339*1000,"")</f>
        <v/>
      </c>
      <c r="N339" s="32" t="str">
        <f aca="false">IF(G339="","",IF(G339&gt;=0.5,"PASS","FIX HOOK"))</f>
        <v/>
      </c>
    </row>
    <row r="340" customFormat="false" ht="15" hidden="false" customHeight="false" outlineLevel="0" collapsed="false">
      <c r="A340" s="33"/>
      <c r="B340" s="33"/>
      <c r="C340" s="33"/>
      <c r="D340" s="33"/>
      <c r="E340" s="33"/>
      <c r="F340" s="34"/>
      <c r="G340" s="35"/>
      <c r="H340" s="34"/>
      <c r="I340" s="34"/>
      <c r="J340" s="34"/>
      <c r="K340" s="34"/>
      <c r="L340" s="31" t="str">
        <f aca="false">IFERROR(H340/F340*1000,"")</f>
        <v/>
      </c>
      <c r="M340" s="31" t="str">
        <f aca="false">IFERROR(I340/F340*1000,"")</f>
        <v/>
      </c>
      <c r="N340" s="32" t="str">
        <f aca="false">IF(G340="","",IF(G340&gt;=0.5,"PASS","FIX HOOK"))</f>
        <v/>
      </c>
    </row>
    <row r="341" customFormat="false" ht="15" hidden="false" customHeight="false" outlineLevel="0" collapsed="false">
      <c r="A341" s="33"/>
      <c r="B341" s="33"/>
      <c r="C341" s="33"/>
      <c r="D341" s="33"/>
      <c r="E341" s="33"/>
      <c r="F341" s="34"/>
      <c r="G341" s="35"/>
      <c r="H341" s="34"/>
      <c r="I341" s="34"/>
      <c r="J341" s="34"/>
      <c r="K341" s="34"/>
      <c r="L341" s="31" t="str">
        <f aca="false">IFERROR(H341/F341*1000,"")</f>
        <v/>
      </c>
      <c r="M341" s="31" t="str">
        <f aca="false">IFERROR(I341/F341*1000,"")</f>
        <v/>
      </c>
      <c r="N341" s="32" t="str">
        <f aca="false">IF(G341="","",IF(G341&gt;=0.5,"PASS","FIX HOOK"))</f>
        <v/>
      </c>
    </row>
    <row r="342" customFormat="false" ht="15" hidden="false" customHeight="false" outlineLevel="0" collapsed="false">
      <c r="A342" s="33"/>
      <c r="B342" s="33"/>
      <c r="C342" s="33"/>
      <c r="D342" s="33"/>
      <c r="E342" s="33"/>
      <c r="F342" s="34"/>
      <c r="G342" s="35"/>
      <c r="H342" s="34"/>
      <c r="I342" s="34"/>
      <c r="J342" s="34"/>
      <c r="K342" s="34"/>
      <c r="L342" s="31" t="str">
        <f aca="false">IFERROR(H342/F342*1000,"")</f>
        <v/>
      </c>
      <c r="M342" s="31" t="str">
        <f aca="false">IFERROR(I342/F342*1000,"")</f>
        <v/>
      </c>
      <c r="N342" s="32" t="str">
        <f aca="false">IF(G342="","",IF(G342&gt;=0.5,"PASS","FIX HOOK"))</f>
        <v/>
      </c>
    </row>
    <row r="343" customFormat="false" ht="15" hidden="false" customHeight="false" outlineLevel="0" collapsed="false">
      <c r="A343" s="33"/>
      <c r="B343" s="33"/>
      <c r="C343" s="33"/>
      <c r="D343" s="33"/>
      <c r="E343" s="33"/>
      <c r="F343" s="34"/>
      <c r="G343" s="35"/>
      <c r="H343" s="34"/>
      <c r="I343" s="34"/>
      <c r="J343" s="34"/>
      <c r="K343" s="34"/>
      <c r="L343" s="31" t="str">
        <f aca="false">IFERROR(H343/F343*1000,"")</f>
        <v/>
      </c>
      <c r="M343" s="31" t="str">
        <f aca="false">IFERROR(I343/F343*1000,"")</f>
        <v/>
      </c>
      <c r="N343" s="32" t="str">
        <f aca="false">IF(G343="","",IF(G343&gt;=0.5,"PASS","FIX HOOK"))</f>
        <v/>
      </c>
    </row>
    <row r="344" customFormat="false" ht="15" hidden="false" customHeight="false" outlineLevel="0" collapsed="false">
      <c r="A344" s="33"/>
      <c r="B344" s="33"/>
      <c r="C344" s="33"/>
      <c r="D344" s="33"/>
      <c r="E344" s="33"/>
      <c r="F344" s="34"/>
      <c r="G344" s="35"/>
      <c r="H344" s="34"/>
      <c r="I344" s="34"/>
      <c r="J344" s="34"/>
      <c r="K344" s="34"/>
      <c r="L344" s="31" t="str">
        <f aca="false">IFERROR(H344/F344*1000,"")</f>
        <v/>
      </c>
      <c r="M344" s="31" t="str">
        <f aca="false">IFERROR(I344/F344*1000,"")</f>
        <v/>
      </c>
      <c r="N344" s="32" t="str">
        <f aca="false">IF(G344="","",IF(G344&gt;=0.5,"PASS","FIX HOOK"))</f>
        <v/>
      </c>
    </row>
    <row r="345" customFormat="false" ht="15" hidden="false" customHeight="false" outlineLevel="0" collapsed="false">
      <c r="A345" s="33"/>
      <c r="B345" s="33"/>
      <c r="C345" s="33"/>
      <c r="D345" s="33"/>
      <c r="E345" s="33"/>
      <c r="F345" s="34"/>
      <c r="G345" s="35"/>
      <c r="H345" s="34"/>
      <c r="I345" s="34"/>
      <c r="J345" s="34"/>
      <c r="K345" s="34"/>
      <c r="L345" s="31" t="str">
        <f aca="false">IFERROR(H345/F345*1000,"")</f>
        <v/>
      </c>
      <c r="M345" s="31" t="str">
        <f aca="false">IFERROR(I345/F345*1000,"")</f>
        <v/>
      </c>
      <c r="N345" s="32" t="str">
        <f aca="false">IF(G345="","",IF(G345&gt;=0.5,"PASS","FIX HOOK"))</f>
        <v/>
      </c>
    </row>
    <row r="346" customFormat="false" ht="15" hidden="false" customHeight="false" outlineLevel="0" collapsed="false">
      <c r="A346" s="33"/>
      <c r="B346" s="33"/>
      <c r="C346" s="33"/>
      <c r="D346" s="33"/>
      <c r="E346" s="33"/>
      <c r="F346" s="34"/>
      <c r="G346" s="35"/>
      <c r="H346" s="34"/>
      <c r="I346" s="34"/>
      <c r="J346" s="34"/>
      <c r="K346" s="34"/>
      <c r="L346" s="31" t="str">
        <f aca="false">IFERROR(H346/F346*1000,"")</f>
        <v/>
      </c>
      <c r="M346" s="31" t="str">
        <f aca="false">IFERROR(I346/F346*1000,"")</f>
        <v/>
      </c>
      <c r="N346" s="32" t="str">
        <f aca="false">IF(G346="","",IF(G346&gt;=0.5,"PASS","FIX HOOK"))</f>
        <v/>
      </c>
    </row>
    <row r="347" customFormat="false" ht="15" hidden="false" customHeight="false" outlineLevel="0" collapsed="false">
      <c r="A347" s="33"/>
      <c r="B347" s="33"/>
      <c r="C347" s="33"/>
      <c r="D347" s="33"/>
      <c r="E347" s="33"/>
      <c r="F347" s="34"/>
      <c r="G347" s="35"/>
      <c r="H347" s="34"/>
      <c r="I347" s="34"/>
      <c r="J347" s="34"/>
      <c r="K347" s="34"/>
      <c r="L347" s="31" t="str">
        <f aca="false">IFERROR(H347/F347*1000,"")</f>
        <v/>
      </c>
      <c r="M347" s="31" t="str">
        <f aca="false">IFERROR(I347/F347*1000,"")</f>
        <v/>
      </c>
      <c r="N347" s="32" t="str">
        <f aca="false">IF(G347="","",IF(G347&gt;=0.5,"PASS","FIX HOOK"))</f>
        <v/>
      </c>
    </row>
    <row r="348" customFormat="false" ht="15" hidden="false" customHeight="false" outlineLevel="0" collapsed="false">
      <c r="A348" s="33"/>
      <c r="B348" s="33"/>
      <c r="C348" s="33"/>
      <c r="D348" s="33"/>
      <c r="E348" s="33"/>
      <c r="F348" s="34"/>
      <c r="G348" s="35"/>
      <c r="H348" s="34"/>
      <c r="I348" s="34"/>
      <c r="J348" s="34"/>
      <c r="K348" s="34"/>
      <c r="L348" s="31" t="str">
        <f aca="false">IFERROR(H348/F348*1000,"")</f>
        <v/>
      </c>
      <c r="M348" s="31" t="str">
        <f aca="false">IFERROR(I348/F348*1000,"")</f>
        <v/>
      </c>
      <c r="N348" s="32" t="str">
        <f aca="false">IF(G348="","",IF(G348&gt;=0.5,"PASS","FIX HOOK"))</f>
        <v/>
      </c>
    </row>
    <row r="349" customFormat="false" ht="15" hidden="false" customHeight="false" outlineLevel="0" collapsed="false">
      <c r="A349" s="33"/>
      <c r="B349" s="33"/>
      <c r="C349" s="33"/>
      <c r="D349" s="33"/>
      <c r="E349" s="33"/>
      <c r="F349" s="34"/>
      <c r="G349" s="35"/>
      <c r="H349" s="34"/>
      <c r="I349" s="34"/>
      <c r="J349" s="34"/>
      <c r="K349" s="34"/>
      <c r="L349" s="31" t="str">
        <f aca="false">IFERROR(H349/F349*1000,"")</f>
        <v/>
      </c>
      <c r="M349" s="31" t="str">
        <f aca="false">IFERROR(I349/F349*1000,"")</f>
        <v/>
      </c>
      <c r="N349" s="32" t="str">
        <f aca="false">IF(G349="","",IF(G349&gt;=0.5,"PASS","FIX HOOK"))</f>
        <v/>
      </c>
    </row>
    <row r="350" customFormat="false" ht="15" hidden="false" customHeight="false" outlineLevel="0" collapsed="false">
      <c r="A350" s="33"/>
      <c r="B350" s="33"/>
      <c r="C350" s="33"/>
      <c r="D350" s="33"/>
      <c r="E350" s="33"/>
      <c r="F350" s="34"/>
      <c r="G350" s="35"/>
      <c r="H350" s="34"/>
      <c r="I350" s="34"/>
      <c r="J350" s="34"/>
      <c r="K350" s="34"/>
      <c r="L350" s="31" t="str">
        <f aca="false">IFERROR(H350/F350*1000,"")</f>
        <v/>
      </c>
      <c r="M350" s="31" t="str">
        <f aca="false">IFERROR(I350/F350*1000,"")</f>
        <v/>
      </c>
      <c r="N350" s="32" t="str">
        <f aca="false">IF(G350="","",IF(G350&gt;=0.5,"PASS","FIX HOOK"))</f>
        <v/>
      </c>
    </row>
    <row r="351" customFormat="false" ht="15" hidden="false" customHeight="false" outlineLevel="0" collapsed="false">
      <c r="A351" s="33"/>
      <c r="B351" s="33"/>
      <c r="C351" s="33"/>
      <c r="D351" s="33"/>
      <c r="E351" s="33"/>
      <c r="F351" s="34"/>
      <c r="G351" s="35"/>
      <c r="H351" s="34"/>
      <c r="I351" s="34"/>
      <c r="J351" s="34"/>
      <c r="K351" s="34"/>
      <c r="L351" s="31" t="str">
        <f aca="false">IFERROR(H351/F351*1000,"")</f>
        <v/>
      </c>
      <c r="M351" s="31" t="str">
        <f aca="false">IFERROR(I351/F351*1000,"")</f>
        <v/>
      </c>
      <c r="N351" s="32" t="str">
        <f aca="false">IF(G351="","",IF(G351&gt;=0.5,"PASS","FIX HOOK"))</f>
        <v/>
      </c>
    </row>
    <row r="352" customFormat="false" ht="15" hidden="false" customHeight="false" outlineLevel="0" collapsed="false">
      <c r="A352" s="33"/>
      <c r="B352" s="33"/>
      <c r="C352" s="33"/>
      <c r="D352" s="33"/>
      <c r="E352" s="33"/>
      <c r="F352" s="34"/>
      <c r="G352" s="35"/>
      <c r="H352" s="34"/>
      <c r="I352" s="34"/>
      <c r="J352" s="34"/>
      <c r="K352" s="34"/>
      <c r="L352" s="31" t="str">
        <f aca="false">IFERROR(H352/F352*1000,"")</f>
        <v/>
      </c>
      <c r="M352" s="31" t="str">
        <f aca="false">IFERROR(I352/F352*1000,"")</f>
        <v/>
      </c>
      <c r="N352" s="32" t="str">
        <f aca="false">IF(G352="","",IF(G352&gt;=0.5,"PASS","FIX HOOK"))</f>
        <v/>
      </c>
    </row>
    <row r="353" customFormat="false" ht="15" hidden="false" customHeight="false" outlineLevel="0" collapsed="false">
      <c r="A353" s="33"/>
      <c r="B353" s="33"/>
      <c r="C353" s="33"/>
      <c r="D353" s="33"/>
      <c r="E353" s="33"/>
      <c r="F353" s="34"/>
      <c r="G353" s="35"/>
      <c r="H353" s="34"/>
      <c r="I353" s="34"/>
      <c r="J353" s="34"/>
      <c r="K353" s="34"/>
      <c r="L353" s="31" t="str">
        <f aca="false">IFERROR(H353/F353*1000,"")</f>
        <v/>
      </c>
      <c r="M353" s="31" t="str">
        <f aca="false">IFERROR(I353/F353*1000,"")</f>
        <v/>
      </c>
      <c r="N353" s="32" t="str">
        <f aca="false">IF(G353="","",IF(G353&gt;=0.5,"PASS","FIX HOOK"))</f>
        <v/>
      </c>
    </row>
    <row r="354" customFormat="false" ht="15" hidden="false" customHeight="false" outlineLevel="0" collapsed="false">
      <c r="A354" s="33"/>
      <c r="B354" s="33"/>
      <c r="C354" s="33"/>
      <c r="D354" s="33"/>
      <c r="E354" s="33"/>
      <c r="F354" s="34"/>
      <c r="G354" s="35"/>
      <c r="H354" s="34"/>
      <c r="I354" s="34"/>
      <c r="J354" s="34"/>
      <c r="K354" s="34"/>
      <c r="L354" s="31" t="str">
        <f aca="false">IFERROR(H354/F354*1000,"")</f>
        <v/>
      </c>
      <c r="M354" s="31" t="str">
        <f aca="false">IFERROR(I354/F354*1000,"")</f>
        <v/>
      </c>
      <c r="N354" s="32" t="str">
        <f aca="false">IF(G354="","",IF(G354&gt;=0.5,"PASS","FIX HOOK"))</f>
        <v/>
      </c>
    </row>
    <row r="355" customFormat="false" ht="15" hidden="false" customHeight="false" outlineLevel="0" collapsed="false">
      <c r="A355" s="33"/>
      <c r="B355" s="33"/>
      <c r="C355" s="33"/>
      <c r="D355" s="33"/>
      <c r="E355" s="33"/>
      <c r="F355" s="34"/>
      <c r="G355" s="35"/>
      <c r="H355" s="34"/>
      <c r="I355" s="34"/>
      <c r="J355" s="34"/>
      <c r="K355" s="34"/>
      <c r="L355" s="31" t="str">
        <f aca="false">IFERROR(H355/F355*1000,"")</f>
        <v/>
      </c>
      <c r="M355" s="31" t="str">
        <f aca="false">IFERROR(I355/F355*1000,"")</f>
        <v/>
      </c>
      <c r="N355" s="32" t="str">
        <f aca="false">IF(G355="","",IF(G355&gt;=0.5,"PASS","FIX HOOK"))</f>
        <v/>
      </c>
    </row>
    <row r="356" customFormat="false" ht="15" hidden="false" customHeight="false" outlineLevel="0" collapsed="false">
      <c r="A356" s="33"/>
      <c r="B356" s="33"/>
      <c r="C356" s="33"/>
      <c r="D356" s="33"/>
      <c r="E356" s="33"/>
      <c r="F356" s="34"/>
      <c r="G356" s="35"/>
      <c r="H356" s="34"/>
      <c r="I356" s="34"/>
      <c r="J356" s="34"/>
      <c r="K356" s="34"/>
      <c r="L356" s="31" t="str">
        <f aca="false">IFERROR(H356/F356*1000,"")</f>
        <v/>
      </c>
      <c r="M356" s="31" t="str">
        <f aca="false">IFERROR(I356/F356*1000,"")</f>
        <v/>
      </c>
      <c r="N356" s="32" t="str">
        <f aca="false">IF(G356="","",IF(G356&gt;=0.5,"PASS","FIX HOOK"))</f>
        <v/>
      </c>
    </row>
    <row r="357" customFormat="false" ht="15" hidden="false" customHeight="false" outlineLevel="0" collapsed="false">
      <c r="A357" s="33"/>
      <c r="B357" s="33"/>
      <c r="C357" s="33"/>
      <c r="D357" s="33"/>
      <c r="E357" s="33"/>
      <c r="F357" s="34"/>
      <c r="G357" s="35"/>
      <c r="H357" s="34"/>
      <c r="I357" s="34"/>
      <c r="J357" s="34"/>
      <c r="K357" s="34"/>
      <c r="L357" s="31" t="str">
        <f aca="false">IFERROR(H357/F357*1000,"")</f>
        <v/>
      </c>
      <c r="M357" s="31" t="str">
        <f aca="false">IFERROR(I357/F357*1000,"")</f>
        <v/>
      </c>
      <c r="N357" s="32" t="str">
        <f aca="false">IF(G357="","",IF(G357&gt;=0.5,"PASS","FIX HOOK"))</f>
        <v/>
      </c>
    </row>
    <row r="358" customFormat="false" ht="15" hidden="false" customHeight="false" outlineLevel="0" collapsed="false">
      <c r="A358" s="33"/>
      <c r="B358" s="33"/>
      <c r="C358" s="33"/>
      <c r="D358" s="33"/>
      <c r="E358" s="33"/>
      <c r="F358" s="34"/>
      <c r="G358" s="35"/>
      <c r="H358" s="34"/>
      <c r="I358" s="34"/>
      <c r="J358" s="34"/>
      <c r="K358" s="34"/>
      <c r="L358" s="31" t="str">
        <f aca="false">IFERROR(H358/F358*1000,"")</f>
        <v/>
      </c>
      <c r="M358" s="31" t="str">
        <f aca="false">IFERROR(I358/F358*1000,"")</f>
        <v/>
      </c>
      <c r="N358" s="32" t="str">
        <f aca="false">IF(G358="","",IF(G358&gt;=0.5,"PASS","FIX HOOK"))</f>
        <v/>
      </c>
    </row>
    <row r="359" customFormat="false" ht="15" hidden="false" customHeight="false" outlineLevel="0" collapsed="false">
      <c r="A359" s="33"/>
      <c r="B359" s="33"/>
      <c r="C359" s="33"/>
      <c r="D359" s="33"/>
      <c r="E359" s="33"/>
      <c r="F359" s="34"/>
      <c r="G359" s="35"/>
      <c r="H359" s="34"/>
      <c r="I359" s="34"/>
      <c r="J359" s="34"/>
      <c r="K359" s="34"/>
      <c r="L359" s="31" t="str">
        <f aca="false">IFERROR(H359/F359*1000,"")</f>
        <v/>
      </c>
      <c r="M359" s="31" t="str">
        <f aca="false">IFERROR(I359/F359*1000,"")</f>
        <v/>
      </c>
      <c r="N359" s="32" t="str">
        <f aca="false">IF(G359="","",IF(G359&gt;=0.5,"PASS","FIX HOOK"))</f>
        <v/>
      </c>
    </row>
    <row r="360" customFormat="false" ht="15" hidden="false" customHeight="false" outlineLevel="0" collapsed="false">
      <c r="A360" s="33"/>
      <c r="B360" s="33"/>
      <c r="C360" s="33"/>
      <c r="D360" s="33"/>
      <c r="E360" s="33"/>
      <c r="F360" s="34"/>
      <c r="G360" s="35"/>
      <c r="H360" s="34"/>
      <c r="I360" s="34"/>
      <c r="J360" s="34"/>
      <c r="K360" s="34"/>
      <c r="L360" s="31" t="str">
        <f aca="false">IFERROR(H360/F360*1000,"")</f>
        <v/>
      </c>
      <c r="M360" s="31" t="str">
        <f aca="false">IFERROR(I360/F360*1000,"")</f>
        <v/>
      </c>
      <c r="N360" s="32" t="str">
        <f aca="false">IF(G360="","",IF(G360&gt;=0.5,"PASS","FIX HOOK"))</f>
        <v/>
      </c>
    </row>
    <row r="361" customFormat="false" ht="15" hidden="false" customHeight="false" outlineLevel="0" collapsed="false">
      <c r="A361" s="33"/>
      <c r="B361" s="33"/>
      <c r="C361" s="33"/>
      <c r="D361" s="33"/>
      <c r="E361" s="33"/>
      <c r="F361" s="34"/>
      <c r="G361" s="35"/>
      <c r="H361" s="34"/>
      <c r="I361" s="34"/>
      <c r="J361" s="34"/>
      <c r="K361" s="34"/>
      <c r="L361" s="31" t="str">
        <f aca="false">IFERROR(H361/F361*1000,"")</f>
        <v/>
      </c>
      <c r="M361" s="31" t="str">
        <f aca="false">IFERROR(I361/F361*1000,"")</f>
        <v/>
      </c>
      <c r="N361" s="32" t="str">
        <f aca="false">IF(G361="","",IF(G361&gt;=0.5,"PASS","FIX HOOK"))</f>
        <v/>
      </c>
    </row>
    <row r="362" customFormat="false" ht="15" hidden="false" customHeight="false" outlineLevel="0" collapsed="false">
      <c r="A362" s="33"/>
      <c r="B362" s="33"/>
      <c r="C362" s="33"/>
      <c r="D362" s="33"/>
      <c r="E362" s="33"/>
      <c r="F362" s="34"/>
      <c r="G362" s="35"/>
      <c r="H362" s="34"/>
      <c r="I362" s="34"/>
      <c r="J362" s="34"/>
      <c r="K362" s="34"/>
      <c r="L362" s="31" t="str">
        <f aca="false">IFERROR(H362/F362*1000,"")</f>
        <v/>
      </c>
      <c r="M362" s="31" t="str">
        <f aca="false">IFERROR(I362/F362*1000,"")</f>
        <v/>
      </c>
      <c r="N362" s="32" t="str">
        <f aca="false">IF(G362="","",IF(G362&gt;=0.5,"PASS","FIX HOOK"))</f>
        <v/>
      </c>
    </row>
    <row r="363" customFormat="false" ht="15" hidden="false" customHeight="false" outlineLevel="0" collapsed="false">
      <c r="A363" s="33"/>
      <c r="B363" s="33"/>
      <c r="C363" s="33"/>
      <c r="D363" s="33"/>
      <c r="E363" s="33"/>
      <c r="F363" s="34"/>
      <c r="G363" s="35"/>
      <c r="H363" s="34"/>
      <c r="I363" s="34"/>
      <c r="J363" s="34"/>
      <c r="K363" s="34"/>
      <c r="L363" s="31" t="str">
        <f aca="false">IFERROR(H363/F363*1000,"")</f>
        <v/>
      </c>
      <c r="M363" s="31" t="str">
        <f aca="false">IFERROR(I363/F363*1000,"")</f>
        <v/>
      </c>
      <c r="N363" s="32" t="str">
        <f aca="false">IF(G363="","",IF(G363&gt;=0.5,"PASS","FIX HOOK"))</f>
        <v/>
      </c>
    </row>
    <row r="364" customFormat="false" ht="15" hidden="false" customHeight="false" outlineLevel="0" collapsed="false">
      <c r="A364" s="33"/>
      <c r="B364" s="33"/>
      <c r="C364" s="33"/>
      <c r="D364" s="33"/>
      <c r="E364" s="33"/>
      <c r="F364" s="34"/>
      <c r="G364" s="35"/>
      <c r="H364" s="34"/>
      <c r="I364" s="34"/>
      <c r="J364" s="34"/>
      <c r="K364" s="34"/>
      <c r="L364" s="31" t="str">
        <f aca="false">IFERROR(H364/F364*1000,"")</f>
        <v/>
      </c>
      <c r="M364" s="31" t="str">
        <f aca="false">IFERROR(I364/F364*1000,"")</f>
        <v/>
      </c>
      <c r="N364" s="32" t="str">
        <f aca="false">IF(G364="","",IF(G364&gt;=0.5,"PASS","FIX HOOK"))</f>
        <v/>
      </c>
    </row>
    <row r="365" customFormat="false" ht="15" hidden="false" customHeight="false" outlineLevel="0" collapsed="false">
      <c r="A365" s="33"/>
      <c r="B365" s="33"/>
      <c r="C365" s="33"/>
      <c r="D365" s="33"/>
      <c r="E365" s="33"/>
      <c r="F365" s="34"/>
      <c r="G365" s="35"/>
      <c r="H365" s="34"/>
      <c r="I365" s="34"/>
      <c r="J365" s="34"/>
      <c r="K365" s="34"/>
      <c r="L365" s="31" t="str">
        <f aca="false">IFERROR(H365/F365*1000,"")</f>
        <v/>
      </c>
      <c r="M365" s="31" t="str">
        <f aca="false">IFERROR(I365/F365*1000,"")</f>
        <v/>
      </c>
      <c r="N365" s="32" t="str">
        <f aca="false">IF(G365="","",IF(G365&gt;=0.5,"PASS","FIX HOOK"))</f>
        <v/>
      </c>
    </row>
    <row r="366" customFormat="false" ht="15" hidden="false" customHeight="false" outlineLevel="0" collapsed="false">
      <c r="A366" s="33"/>
      <c r="B366" s="33"/>
      <c r="C366" s="33"/>
      <c r="D366" s="33"/>
      <c r="E366" s="33"/>
      <c r="F366" s="34"/>
      <c r="G366" s="35"/>
      <c r="H366" s="34"/>
      <c r="I366" s="34"/>
      <c r="J366" s="34"/>
      <c r="K366" s="34"/>
      <c r="L366" s="31" t="str">
        <f aca="false">IFERROR(H366/F366*1000,"")</f>
        <v/>
      </c>
      <c r="M366" s="31" t="str">
        <f aca="false">IFERROR(I366/F366*1000,"")</f>
        <v/>
      </c>
      <c r="N366" s="32" t="str">
        <f aca="false">IF(G366="","",IF(G366&gt;=0.5,"PASS","FIX HOOK"))</f>
        <v/>
      </c>
    </row>
    <row r="367" customFormat="false" ht="15" hidden="false" customHeight="false" outlineLevel="0" collapsed="false">
      <c r="A367" s="33"/>
      <c r="B367" s="33"/>
      <c r="C367" s="33"/>
      <c r="D367" s="33"/>
      <c r="E367" s="33"/>
      <c r="F367" s="34"/>
      <c r="G367" s="35"/>
      <c r="H367" s="34"/>
      <c r="I367" s="34"/>
      <c r="J367" s="34"/>
      <c r="K367" s="34"/>
      <c r="L367" s="31" t="str">
        <f aca="false">IFERROR(H367/F367*1000,"")</f>
        <v/>
      </c>
      <c r="M367" s="31" t="str">
        <f aca="false">IFERROR(I367/F367*1000,"")</f>
        <v/>
      </c>
      <c r="N367" s="32" t="str">
        <f aca="false">IF(G367="","",IF(G367&gt;=0.5,"PASS","FIX HOOK"))</f>
        <v/>
      </c>
    </row>
    <row r="368" customFormat="false" ht="15" hidden="false" customHeight="false" outlineLevel="0" collapsed="false">
      <c r="A368" s="33"/>
      <c r="B368" s="33"/>
      <c r="C368" s="33"/>
      <c r="D368" s="33"/>
      <c r="E368" s="33"/>
      <c r="F368" s="34"/>
      <c r="G368" s="35"/>
      <c r="H368" s="34"/>
      <c r="I368" s="34"/>
      <c r="J368" s="34"/>
      <c r="K368" s="34"/>
      <c r="L368" s="31" t="str">
        <f aca="false">IFERROR(H368/F368*1000,"")</f>
        <v/>
      </c>
      <c r="M368" s="31" t="str">
        <f aca="false">IFERROR(I368/F368*1000,"")</f>
        <v/>
      </c>
      <c r="N368" s="32" t="str">
        <f aca="false">IF(G368="","",IF(G368&gt;=0.5,"PASS","FIX HOOK"))</f>
        <v/>
      </c>
    </row>
    <row r="369" customFormat="false" ht="15" hidden="false" customHeight="false" outlineLevel="0" collapsed="false">
      <c r="A369" s="33"/>
      <c r="B369" s="33"/>
      <c r="C369" s="33"/>
      <c r="D369" s="33"/>
      <c r="E369" s="33"/>
      <c r="F369" s="34"/>
      <c r="G369" s="35"/>
      <c r="H369" s="34"/>
      <c r="I369" s="34"/>
      <c r="J369" s="34"/>
      <c r="K369" s="34"/>
      <c r="L369" s="31" t="str">
        <f aca="false">IFERROR(H369/F369*1000,"")</f>
        <v/>
      </c>
      <c r="M369" s="31" t="str">
        <f aca="false">IFERROR(I369/F369*1000,"")</f>
        <v/>
      </c>
      <c r="N369" s="32" t="str">
        <f aca="false">IF(G369="","",IF(G369&gt;=0.5,"PASS","FIX HOOK"))</f>
        <v/>
      </c>
    </row>
    <row r="370" customFormat="false" ht="15" hidden="false" customHeight="false" outlineLevel="0" collapsed="false">
      <c r="A370" s="33"/>
      <c r="B370" s="33"/>
      <c r="C370" s="33"/>
      <c r="D370" s="33"/>
      <c r="E370" s="33"/>
      <c r="F370" s="34"/>
      <c r="G370" s="35"/>
      <c r="H370" s="34"/>
      <c r="I370" s="34"/>
      <c r="J370" s="34"/>
      <c r="K370" s="34"/>
      <c r="L370" s="31" t="str">
        <f aca="false">IFERROR(H370/F370*1000,"")</f>
        <v/>
      </c>
      <c r="M370" s="31" t="str">
        <f aca="false">IFERROR(I370/F370*1000,"")</f>
        <v/>
      </c>
      <c r="N370" s="32" t="str">
        <f aca="false">IF(G370="","",IF(G370&gt;=0.5,"PASS","FIX HOOK"))</f>
        <v/>
      </c>
    </row>
    <row r="371" customFormat="false" ht="15" hidden="false" customHeight="false" outlineLevel="0" collapsed="false">
      <c r="A371" s="33"/>
      <c r="B371" s="33"/>
      <c r="C371" s="33"/>
      <c r="D371" s="33"/>
      <c r="E371" s="33"/>
      <c r="F371" s="34"/>
      <c r="G371" s="35"/>
      <c r="H371" s="34"/>
      <c r="I371" s="34"/>
      <c r="J371" s="34"/>
      <c r="K371" s="34"/>
      <c r="L371" s="31" t="str">
        <f aca="false">IFERROR(H371/F371*1000,"")</f>
        <v/>
      </c>
      <c r="M371" s="31" t="str">
        <f aca="false">IFERROR(I371/F371*1000,"")</f>
        <v/>
      </c>
      <c r="N371" s="32" t="str">
        <f aca="false">IF(G371="","",IF(G371&gt;=0.5,"PASS","FIX HOOK"))</f>
        <v/>
      </c>
    </row>
    <row r="372" customFormat="false" ht="15" hidden="false" customHeight="false" outlineLevel="0" collapsed="false">
      <c r="A372" s="33"/>
      <c r="B372" s="33"/>
      <c r="C372" s="33"/>
      <c r="D372" s="33"/>
      <c r="E372" s="33"/>
      <c r="F372" s="34"/>
      <c r="G372" s="35"/>
      <c r="H372" s="34"/>
      <c r="I372" s="34"/>
      <c r="J372" s="34"/>
      <c r="K372" s="34"/>
      <c r="L372" s="31" t="str">
        <f aca="false">IFERROR(H372/F372*1000,"")</f>
        <v/>
      </c>
      <c r="M372" s="31" t="str">
        <f aca="false">IFERROR(I372/F372*1000,"")</f>
        <v/>
      </c>
      <c r="N372" s="32" t="str">
        <f aca="false">IF(G372="","",IF(G372&gt;=0.5,"PASS","FIX HOOK"))</f>
        <v/>
      </c>
    </row>
    <row r="373" customFormat="false" ht="15" hidden="false" customHeight="false" outlineLevel="0" collapsed="false">
      <c r="A373" s="33"/>
      <c r="B373" s="33"/>
      <c r="C373" s="33"/>
      <c r="D373" s="33"/>
      <c r="E373" s="33"/>
      <c r="F373" s="34"/>
      <c r="G373" s="35"/>
      <c r="H373" s="34"/>
      <c r="I373" s="34"/>
      <c r="J373" s="34"/>
      <c r="K373" s="34"/>
      <c r="L373" s="31" t="str">
        <f aca="false">IFERROR(H373/F373*1000,"")</f>
        <v/>
      </c>
      <c r="M373" s="31" t="str">
        <f aca="false">IFERROR(I373/F373*1000,"")</f>
        <v/>
      </c>
      <c r="N373" s="32" t="str">
        <f aca="false">IF(G373="","",IF(G373&gt;=0.5,"PASS","FIX HOOK"))</f>
        <v/>
      </c>
    </row>
    <row r="374" customFormat="false" ht="15" hidden="false" customHeight="false" outlineLevel="0" collapsed="false">
      <c r="A374" s="33"/>
      <c r="B374" s="33"/>
      <c r="C374" s="33"/>
      <c r="D374" s="33"/>
      <c r="E374" s="33"/>
      <c r="F374" s="34"/>
      <c r="G374" s="35"/>
      <c r="H374" s="34"/>
      <c r="I374" s="34"/>
      <c r="J374" s="34"/>
      <c r="K374" s="34"/>
      <c r="L374" s="31" t="str">
        <f aca="false">IFERROR(H374/F374*1000,"")</f>
        <v/>
      </c>
      <c r="M374" s="31" t="str">
        <f aca="false">IFERROR(I374/F374*1000,"")</f>
        <v/>
      </c>
      <c r="N374" s="32" t="str">
        <f aca="false">IF(G374="","",IF(G374&gt;=0.5,"PASS","FIX HOOK"))</f>
        <v/>
      </c>
    </row>
    <row r="375" customFormat="false" ht="15" hidden="false" customHeight="false" outlineLevel="0" collapsed="false">
      <c r="A375" s="33"/>
      <c r="B375" s="33"/>
      <c r="C375" s="33"/>
      <c r="D375" s="33"/>
      <c r="E375" s="33"/>
      <c r="F375" s="34"/>
      <c r="G375" s="35"/>
      <c r="H375" s="34"/>
      <c r="I375" s="34"/>
      <c r="J375" s="34"/>
      <c r="K375" s="34"/>
      <c r="L375" s="31" t="str">
        <f aca="false">IFERROR(H375/F375*1000,"")</f>
        <v/>
      </c>
      <c r="M375" s="31" t="str">
        <f aca="false">IFERROR(I375/F375*1000,"")</f>
        <v/>
      </c>
      <c r="N375" s="32" t="str">
        <f aca="false">IF(G375="","",IF(G375&gt;=0.5,"PASS","FIX HOOK"))</f>
        <v/>
      </c>
    </row>
    <row r="376" customFormat="false" ht="15" hidden="false" customHeight="false" outlineLevel="0" collapsed="false">
      <c r="A376" s="33"/>
      <c r="B376" s="33"/>
      <c r="C376" s="33"/>
      <c r="D376" s="33"/>
      <c r="E376" s="33"/>
      <c r="F376" s="34"/>
      <c r="G376" s="35"/>
      <c r="H376" s="34"/>
      <c r="I376" s="34"/>
      <c r="J376" s="34"/>
      <c r="K376" s="34"/>
      <c r="L376" s="31" t="str">
        <f aca="false">IFERROR(H376/F376*1000,"")</f>
        <v/>
      </c>
      <c r="M376" s="31" t="str">
        <f aca="false">IFERROR(I376/F376*1000,"")</f>
        <v/>
      </c>
      <c r="N376" s="32" t="str">
        <f aca="false">IF(G376="","",IF(G376&gt;=0.5,"PASS","FIX HOOK"))</f>
        <v/>
      </c>
    </row>
    <row r="377" customFormat="false" ht="15" hidden="false" customHeight="false" outlineLevel="0" collapsed="false">
      <c r="A377" s="33"/>
      <c r="B377" s="33"/>
      <c r="C377" s="33"/>
      <c r="D377" s="33"/>
      <c r="E377" s="33"/>
      <c r="F377" s="34"/>
      <c r="G377" s="35"/>
      <c r="H377" s="34"/>
      <c r="I377" s="34"/>
      <c r="J377" s="34"/>
      <c r="K377" s="34"/>
      <c r="L377" s="31" t="str">
        <f aca="false">IFERROR(H377/F377*1000,"")</f>
        <v/>
      </c>
      <c r="M377" s="31" t="str">
        <f aca="false">IFERROR(I377/F377*1000,"")</f>
        <v/>
      </c>
      <c r="N377" s="32" t="str">
        <f aca="false">IF(G377="","",IF(G377&gt;=0.5,"PASS","FIX HOOK"))</f>
        <v/>
      </c>
    </row>
    <row r="378" customFormat="false" ht="15" hidden="false" customHeight="false" outlineLevel="0" collapsed="false">
      <c r="A378" s="33"/>
      <c r="B378" s="33"/>
      <c r="C378" s="33"/>
      <c r="D378" s="33"/>
      <c r="E378" s="33"/>
      <c r="F378" s="34"/>
      <c r="G378" s="35"/>
      <c r="H378" s="34"/>
      <c r="I378" s="34"/>
      <c r="J378" s="34"/>
      <c r="K378" s="34"/>
      <c r="L378" s="31" t="str">
        <f aca="false">IFERROR(H378/F378*1000,"")</f>
        <v/>
      </c>
      <c r="M378" s="31" t="str">
        <f aca="false">IFERROR(I378/F378*1000,"")</f>
        <v/>
      </c>
      <c r="N378" s="32" t="str">
        <f aca="false">IF(G378="","",IF(G378&gt;=0.5,"PASS","FIX HOOK"))</f>
        <v/>
      </c>
    </row>
    <row r="379" customFormat="false" ht="15" hidden="false" customHeight="false" outlineLevel="0" collapsed="false">
      <c r="A379" s="33"/>
      <c r="B379" s="33"/>
      <c r="C379" s="33"/>
      <c r="D379" s="33"/>
      <c r="E379" s="33"/>
      <c r="F379" s="34"/>
      <c r="G379" s="35"/>
      <c r="H379" s="34"/>
      <c r="I379" s="34"/>
      <c r="J379" s="34"/>
      <c r="K379" s="34"/>
      <c r="L379" s="31" t="str">
        <f aca="false">IFERROR(H379/F379*1000,"")</f>
        <v/>
      </c>
      <c r="M379" s="31" t="str">
        <f aca="false">IFERROR(I379/F379*1000,"")</f>
        <v/>
      </c>
      <c r="N379" s="32" t="str">
        <f aca="false">IF(G379="","",IF(G379&gt;=0.5,"PASS","FIX HOOK"))</f>
        <v/>
      </c>
    </row>
    <row r="380" customFormat="false" ht="15" hidden="false" customHeight="false" outlineLevel="0" collapsed="false">
      <c r="A380" s="33"/>
      <c r="B380" s="33"/>
      <c r="C380" s="33"/>
      <c r="D380" s="33"/>
      <c r="E380" s="33"/>
      <c r="F380" s="34"/>
      <c r="G380" s="35"/>
      <c r="H380" s="34"/>
      <c r="I380" s="34"/>
      <c r="J380" s="34"/>
      <c r="K380" s="34"/>
      <c r="L380" s="31" t="str">
        <f aca="false">IFERROR(H380/F380*1000,"")</f>
        <v/>
      </c>
      <c r="M380" s="31" t="str">
        <f aca="false">IFERROR(I380/F380*1000,"")</f>
        <v/>
      </c>
      <c r="N380" s="32" t="str">
        <f aca="false">IF(G380="","",IF(G380&gt;=0.5,"PASS","FIX HOOK"))</f>
        <v/>
      </c>
    </row>
    <row r="381" customFormat="false" ht="15" hidden="false" customHeight="false" outlineLevel="0" collapsed="false">
      <c r="A381" s="33"/>
      <c r="B381" s="33"/>
      <c r="C381" s="33"/>
      <c r="D381" s="33"/>
      <c r="E381" s="33"/>
      <c r="F381" s="34"/>
      <c r="G381" s="35"/>
      <c r="H381" s="34"/>
      <c r="I381" s="34"/>
      <c r="J381" s="34"/>
      <c r="K381" s="34"/>
      <c r="L381" s="31" t="str">
        <f aca="false">IFERROR(H381/F381*1000,"")</f>
        <v/>
      </c>
      <c r="M381" s="31" t="str">
        <f aca="false">IFERROR(I381/F381*1000,"")</f>
        <v/>
      </c>
      <c r="N381" s="32" t="str">
        <f aca="false">IF(G381="","",IF(G381&gt;=0.5,"PASS","FIX HOOK"))</f>
        <v/>
      </c>
    </row>
    <row r="382" customFormat="false" ht="15" hidden="false" customHeight="false" outlineLevel="0" collapsed="false">
      <c r="A382" s="33"/>
      <c r="B382" s="33"/>
      <c r="C382" s="33"/>
      <c r="D382" s="33"/>
      <c r="E382" s="33"/>
      <c r="F382" s="34"/>
      <c r="G382" s="35"/>
      <c r="H382" s="34"/>
      <c r="I382" s="34"/>
      <c r="J382" s="34"/>
      <c r="K382" s="34"/>
      <c r="L382" s="31" t="str">
        <f aca="false">IFERROR(H382/F382*1000,"")</f>
        <v/>
      </c>
      <c r="M382" s="31" t="str">
        <f aca="false">IFERROR(I382/F382*1000,"")</f>
        <v/>
      </c>
      <c r="N382" s="32" t="str">
        <f aca="false">IF(G382="","",IF(G382&gt;=0.5,"PASS","FIX HOOK"))</f>
        <v/>
      </c>
    </row>
    <row r="383" customFormat="false" ht="15" hidden="false" customHeight="false" outlineLevel="0" collapsed="false">
      <c r="A383" s="33"/>
      <c r="B383" s="33"/>
      <c r="C383" s="33"/>
      <c r="D383" s="33"/>
      <c r="E383" s="33"/>
      <c r="F383" s="34"/>
      <c r="G383" s="35"/>
      <c r="H383" s="34"/>
      <c r="I383" s="34"/>
      <c r="J383" s="34"/>
      <c r="K383" s="34"/>
      <c r="L383" s="31" t="str">
        <f aca="false">IFERROR(H383/F383*1000,"")</f>
        <v/>
      </c>
      <c r="M383" s="31" t="str">
        <f aca="false">IFERROR(I383/F383*1000,"")</f>
        <v/>
      </c>
      <c r="N383" s="32" t="str">
        <f aca="false">IF(G383="","",IF(G383&gt;=0.5,"PASS","FIX HOOK"))</f>
        <v/>
      </c>
    </row>
    <row r="384" customFormat="false" ht="15" hidden="false" customHeight="false" outlineLevel="0" collapsed="false">
      <c r="A384" s="33"/>
      <c r="B384" s="33"/>
      <c r="C384" s="33"/>
      <c r="D384" s="33"/>
      <c r="E384" s="33"/>
      <c r="F384" s="34"/>
      <c r="G384" s="35"/>
      <c r="H384" s="34"/>
      <c r="I384" s="34"/>
      <c r="J384" s="34"/>
      <c r="K384" s="34"/>
      <c r="L384" s="31" t="str">
        <f aca="false">IFERROR(H384/F384*1000,"")</f>
        <v/>
      </c>
      <c r="M384" s="31" t="str">
        <f aca="false">IFERROR(I384/F384*1000,"")</f>
        <v/>
      </c>
      <c r="N384" s="32" t="str">
        <f aca="false">IF(G384="","",IF(G384&gt;=0.5,"PASS","FIX HOOK"))</f>
        <v/>
      </c>
    </row>
    <row r="385" customFormat="false" ht="15" hidden="false" customHeight="false" outlineLevel="0" collapsed="false">
      <c r="A385" s="33"/>
      <c r="B385" s="33"/>
      <c r="C385" s="33"/>
      <c r="D385" s="33"/>
      <c r="E385" s="33"/>
      <c r="F385" s="34"/>
      <c r="G385" s="35"/>
      <c r="H385" s="34"/>
      <c r="I385" s="34"/>
      <c r="J385" s="34"/>
      <c r="K385" s="34"/>
      <c r="L385" s="31" t="str">
        <f aca="false">IFERROR(H385/F385*1000,"")</f>
        <v/>
      </c>
      <c r="M385" s="31" t="str">
        <f aca="false">IFERROR(I385/F385*1000,"")</f>
        <v/>
      </c>
      <c r="N385" s="32" t="str">
        <f aca="false">IF(G385="","",IF(G385&gt;=0.5,"PASS","FIX HOOK"))</f>
        <v/>
      </c>
    </row>
    <row r="386" customFormat="false" ht="15" hidden="false" customHeight="false" outlineLevel="0" collapsed="false">
      <c r="A386" s="33"/>
      <c r="B386" s="33"/>
      <c r="C386" s="33"/>
      <c r="D386" s="33"/>
      <c r="E386" s="33"/>
      <c r="F386" s="34"/>
      <c r="G386" s="35"/>
      <c r="H386" s="34"/>
      <c r="I386" s="34"/>
      <c r="J386" s="34"/>
      <c r="K386" s="34"/>
      <c r="L386" s="31" t="str">
        <f aca="false">IFERROR(H386/F386*1000,"")</f>
        <v/>
      </c>
      <c r="M386" s="31" t="str">
        <f aca="false">IFERROR(I386/F386*1000,"")</f>
        <v/>
      </c>
      <c r="N386" s="32" t="str">
        <f aca="false">IF(G386="","",IF(G386&gt;=0.5,"PASS","FIX HOOK"))</f>
        <v/>
      </c>
    </row>
    <row r="387" customFormat="false" ht="15" hidden="false" customHeight="false" outlineLevel="0" collapsed="false">
      <c r="A387" s="33"/>
      <c r="B387" s="33"/>
      <c r="C387" s="33"/>
      <c r="D387" s="33"/>
      <c r="E387" s="33"/>
      <c r="F387" s="34"/>
      <c r="G387" s="35"/>
      <c r="H387" s="34"/>
      <c r="I387" s="34"/>
      <c r="J387" s="34"/>
      <c r="K387" s="34"/>
      <c r="L387" s="31" t="str">
        <f aca="false">IFERROR(H387/F387*1000,"")</f>
        <v/>
      </c>
      <c r="M387" s="31" t="str">
        <f aca="false">IFERROR(I387/F387*1000,"")</f>
        <v/>
      </c>
      <c r="N387" s="32" t="str">
        <f aca="false">IF(G387="","",IF(G387&gt;=0.5,"PASS","FIX HOOK"))</f>
        <v/>
      </c>
    </row>
    <row r="388" customFormat="false" ht="15" hidden="false" customHeight="false" outlineLevel="0" collapsed="false">
      <c r="A388" s="33"/>
      <c r="B388" s="33"/>
      <c r="C388" s="33"/>
      <c r="D388" s="33"/>
      <c r="E388" s="33"/>
      <c r="F388" s="34"/>
      <c r="G388" s="35"/>
      <c r="H388" s="34"/>
      <c r="I388" s="34"/>
      <c r="J388" s="34"/>
      <c r="K388" s="34"/>
      <c r="L388" s="31" t="str">
        <f aca="false">IFERROR(H388/F388*1000,"")</f>
        <v/>
      </c>
      <c r="M388" s="31" t="str">
        <f aca="false">IFERROR(I388/F388*1000,"")</f>
        <v/>
      </c>
      <c r="N388" s="32" t="str">
        <f aca="false">IF(G388="","",IF(G388&gt;=0.5,"PASS","FIX HOOK"))</f>
        <v/>
      </c>
    </row>
    <row r="389" customFormat="false" ht="15" hidden="false" customHeight="false" outlineLevel="0" collapsed="false">
      <c r="A389" s="33"/>
      <c r="B389" s="33"/>
      <c r="C389" s="33"/>
      <c r="D389" s="33"/>
      <c r="E389" s="33"/>
      <c r="F389" s="34"/>
      <c r="G389" s="35"/>
      <c r="H389" s="34"/>
      <c r="I389" s="34"/>
      <c r="J389" s="34"/>
      <c r="K389" s="34"/>
      <c r="L389" s="31" t="str">
        <f aca="false">IFERROR(H389/F389*1000,"")</f>
        <v/>
      </c>
      <c r="M389" s="31" t="str">
        <f aca="false">IFERROR(I389/F389*1000,"")</f>
        <v/>
      </c>
      <c r="N389" s="32" t="str">
        <f aca="false">IF(G389="","",IF(G389&gt;=0.5,"PASS","FIX HOOK"))</f>
        <v/>
      </c>
    </row>
    <row r="390" customFormat="false" ht="15" hidden="false" customHeight="false" outlineLevel="0" collapsed="false">
      <c r="A390" s="33"/>
      <c r="B390" s="33"/>
      <c r="C390" s="33"/>
      <c r="D390" s="33"/>
      <c r="E390" s="33"/>
      <c r="F390" s="34"/>
      <c r="G390" s="35"/>
      <c r="H390" s="34"/>
      <c r="I390" s="34"/>
      <c r="J390" s="34"/>
      <c r="K390" s="34"/>
      <c r="L390" s="31" t="str">
        <f aca="false">IFERROR(H390/F390*1000,"")</f>
        <v/>
      </c>
      <c r="M390" s="31" t="str">
        <f aca="false">IFERROR(I390/F390*1000,"")</f>
        <v/>
      </c>
      <c r="N390" s="32" t="str">
        <f aca="false">IF(G390="","",IF(G390&gt;=0.5,"PASS","FIX HOOK"))</f>
        <v/>
      </c>
    </row>
    <row r="391" customFormat="false" ht="15" hidden="false" customHeight="false" outlineLevel="0" collapsed="false">
      <c r="A391" s="33"/>
      <c r="B391" s="33"/>
      <c r="C391" s="33"/>
      <c r="D391" s="33"/>
      <c r="E391" s="33"/>
      <c r="F391" s="34"/>
      <c r="G391" s="35"/>
      <c r="H391" s="34"/>
      <c r="I391" s="34"/>
      <c r="J391" s="34"/>
      <c r="K391" s="34"/>
      <c r="L391" s="31" t="str">
        <f aca="false">IFERROR(H391/F391*1000,"")</f>
        <v/>
      </c>
      <c r="M391" s="31" t="str">
        <f aca="false">IFERROR(I391/F391*1000,"")</f>
        <v/>
      </c>
      <c r="N391" s="32" t="str">
        <f aca="false">IF(G391="","",IF(G391&gt;=0.5,"PASS","FIX HOOK"))</f>
        <v/>
      </c>
    </row>
    <row r="392" customFormat="false" ht="15" hidden="false" customHeight="false" outlineLevel="0" collapsed="false">
      <c r="A392" s="33"/>
      <c r="B392" s="33"/>
      <c r="C392" s="33"/>
      <c r="D392" s="33"/>
      <c r="E392" s="33"/>
      <c r="F392" s="34"/>
      <c r="G392" s="35"/>
      <c r="H392" s="34"/>
      <c r="I392" s="34"/>
      <c r="J392" s="34"/>
      <c r="K392" s="34"/>
      <c r="L392" s="31" t="str">
        <f aca="false">IFERROR(H392/F392*1000,"")</f>
        <v/>
      </c>
      <c r="M392" s="31" t="str">
        <f aca="false">IFERROR(I392/F392*1000,"")</f>
        <v/>
      </c>
      <c r="N392" s="32" t="str">
        <f aca="false">IF(G392="","",IF(G392&gt;=0.5,"PASS","FIX HOOK"))</f>
        <v/>
      </c>
    </row>
    <row r="393" customFormat="false" ht="15" hidden="false" customHeight="false" outlineLevel="0" collapsed="false">
      <c r="A393" s="33"/>
      <c r="B393" s="33"/>
      <c r="C393" s="33"/>
      <c r="D393" s="33"/>
      <c r="E393" s="33"/>
      <c r="F393" s="34"/>
      <c r="G393" s="35"/>
      <c r="H393" s="34"/>
      <c r="I393" s="34"/>
      <c r="J393" s="34"/>
      <c r="K393" s="34"/>
      <c r="L393" s="31" t="str">
        <f aca="false">IFERROR(H393/F393*1000,"")</f>
        <v/>
      </c>
      <c r="M393" s="31" t="str">
        <f aca="false">IFERROR(I393/F393*1000,"")</f>
        <v/>
      </c>
      <c r="N393" s="32" t="str">
        <f aca="false">IF(G393="","",IF(G393&gt;=0.5,"PASS","FIX HOOK"))</f>
        <v/>
      </c>
    </row>
    <row r="394" customFormat="false" ht="15" hidden="false" customHeight="false" outlineLevel="0" collapsed="false">
      <c r="A394" s="33"/>
      <c r="B394" s="33"/>
      <c r="C394" s="33"/>
      <c r="D394" s="33"/>
      <c r="E394" s="33"/>
      <c r="F394" s="34"/>
      <c r="G394" s="35"/>
      <c r="H394" s="34"/>
      <c r="I394" s="34"/>
      <c r="J394" s="34"/>
      <c r="K394" s="34"/>
      <c r="L394" s="31" t="str">
        <f aca="false">IFERROR(H394/F394*1000,"")</f>
        <v/>
      </c>
      <c r="M394" s="31" t="str">
        <f aca="false">IFERROR(I394/F394*1000,"")</f>
        <v/>
      </c>
      <c r="N394" s="32" t="str">
        <f aca="false">IF(G394="","",IF(G394&gt;=0.5,"PASS","FIX HOOK"))</f>
        <v/>
      </c>
    </row>
    <row r="395" customFormat="false" ht="15" hidden="false" customHeight="false" outlineLevel="0" collapsed="false">
      <c r="A395" s="33"/>
      <c r="B395" s="33"/>
      <c r="C395" s="33"/>
      <c r="D395" s="33"/>
      <c r="E395" s="33"/>
      <c r="F395" s="34"/>
      <c r="G395" s="35"/>
      <c r="H395" s="34"/>
      <c r="I395" s="34"/>
      <c r="J395" s="34"/>
      <c r="K395" s="34"/>
      <c r="L395" s="31" t="str">
        <f aca="false">IFERROR(H395/F395*1000,"")</f>
        <v/>
      </c>
      <c r="M395" s="31" t="str">
        <f aca="false">IFERROR(I395/F395*1000,"")</f>
        <v/>
      </c>
      <c r="N395" s="32" t="str">
        <f aca="false">IF(G395="","",IF(G395&gt;=0.5,"PASS","FIX HOOK"))</f>
        <v/>
      </c>
    </row>
    <row r="396" customFormat="false" ht="15" hidden="false" customHeight="false" outlineLevel="0" collapsed="false">
      <c r="A396" s="33"/>
      <c r="B396" s="33"/>
      <c r="C396" s="33"/>
      <c r="D396" s="33"/>
      <c r="E396" s="33"/>
      <c r="F396" s="34"/>
      <c r="G396" s="35"/>
      <c r="H396" s="34"/>
      <c r="I396" s="34"/>
      <c r="J396" s="34"/>
      <c r="K396" s="34"/>
      <c r="L396" s="31" t="str">
        <f aca="false">IFERROR(H396/F396*1000,"")</f>
        <v/>
      </c>
      <c r="M396" s="31" t="str">
        <f aca="false">IFERROR(I396/F396*1000,"")</f>
        <v/>
      </c>
      <c r="N396" s="32" t="str">
        <f aca="false">IF(G396="","",IF(G396&gt;=0.5,"PASS","FIX HOOK"))</f>
        <v/>
      </c>
    </row>
    <row r="397" customFormat="false" ht="15" hidden="false" customHeight="false" outlineLevel="0" collapsed="false">
      <c r="A397" s="33"/>
      <c r="B397" s="33"/>
      <c r="C397" s="33"/>
      <c r="D397" s="33"/>
      <c r="E397" s="33"/>
      <c r="F397" s="34"/>
      <c r="G397" s="35"/>
      <c r="H397" s="34"/>
      <c r="I397" s="34"/>
      <c r="J397" s="34"/>
      <c r="K397" s="34"/>
      <c r="L397" s="31" t="str">
        <f aca="false">IFERROR(H397/F397*1000,"")</f>
        <v/>
      </c>
      <c r="M397" s="31" t="str">
        <f aca="false">IFERROR(I397/F397*1000,"")</f>
        <v/>
      </c>
      <c r="N397" s="32" t="str">
        <f aca="false">IF(G397="","",IF(G397&gt;=0.5,"PASS","FIX HOOK"))</f>
        <v/>
      </c>
    </row>
    <row r="398" customFormat="false" ht="15" hidden="false" customHeight="false" outlineLevel="0" collapsed="false">
      <c r="A398" s="33"/>
      <c r="B398" s="33"/>
      <c r="C398" s="33"/>
      <c r="D398" s="33"/>
      <c r="E398" s="33"/>
      <c r="F398" s="34"/>
      <c r="G398" s="35"/>
      <c r="H398" s="34"/>
      <c r="I398" s="34"/>
      <c r="J398" s="34"/>
      <c r="K398" s="34"/>
      <c r="L398" s="31" t="str">
        <f aca="false">IFERROR(H398/F398*1000,"")</f>
        <v/>
      </c>
      <c r="M398" s="31" t="str">
        <f aca="false">IFERROR(I398/F398*1000,"")</f>
        <v/>
      </c>
      <c r="N398" s="32" t="str">
        <f aca="false">IF(G398="","",IF(G398&gt;=0.5,"PASS","FIX HOOK"))</f>
        <v/>
      </c>
    </row>
    <row r="399" customFormat="false" ht="15" hidden="false" customHeight="false" outlineLevel="0" collapsed="false">
      <c r="A399" s="33"/>
      <c r="B399" s="33"/>
      <c r="C399" s="33"/>
      <c r="D399" s="33"/>
      <c r="E399" s="33"/>
      <c r="F399" s="34"/>
      <c r="G399" s="35"/>
      <c r="H399" s="34"/>
      <c r="I399" s="34"/>
      <c r="J399" s="34"/>
      <c r="K399" s="34"/>
      <c r="L399" s="31" t="str">
        <f aca="false">IFERROR(H399/F399*1000,"")</f>
        <v/>
      </c>
      <c r="M399" s="31" t="str">
        <f aca="false">IFERROR(I399/F399*1000,"")</f>
        <v/>
      </c>
      <c r="N399" s="32" t="str">
        <f aca="false">IF(G399="","",IF(G399&gt;=0.5,"PASS","FIX HOOK"))</f>
        <v/>
      </c>
    </row>
    <row r="400" customFormat="false" ht="15" hidden="false" customHeight="false" outlineLevel="0" collapsed="false">
      <c r="A400" s="33"/>
      <c r="B400" s="33"/>
      <c r="C400" s="33"/>
      <c r="D400" s="33"/>
      <c r="E400" s="33"/>
      <c r="F400" s="34"/>
      <c r="G400" s="35"/>
      <c r="H400" s="34"/>
      <c r="I400" s="34"/>
      <c r="J400" s="34"/>
      <c r="K400" s="34"/>
      <c r="L400" s="31" t="str">
        <f aca="false">IFERROR(H400/F400*1000,"")</f>
        <v/>
      </c>
      <c r="M400" s="31" t="str">
        <f aca="false">IFERROR(I400/F400*1000,"")</f>
        <v/>
      </c>
      <c r="N400" s="32" t="str">
        <f aca="false">IF(G400="","",IF(G400&gt;=0.5,"PASS","FIX HOOK"))</f>
        <v/>
      </c>
    </row>
    <row r="401" customFormat="false" ht="15" hidden="false" customHeight="false" outlineLevel="0" collapsed="false">
      <c r="A401" s="33"/>
      <c r="B401" s="33"/>
      <c r="C401" s="33"/>
      <c r="D401" s="33"/>
      <c r="E401" s="33"/>
      <c r="F401" s="34"/>
      <c r="G401" s="35"/>
      <c r="H401" s="34"/>
      <c r="I401" s="34"/>
      <c r="J401" s="34"/>
      <c r="K401" s="34"/>
      <c r="L401" s="31" t="str">
        <f aca="false">IFERROR(H401/F401*1000,"")</f>
        <v/>
      </c>
      <c r="M401" s="31" t="str">
        <f aca="false">IFERROR(I401/F401*1000,"")</f>
        <v/>
      </c>
      <c r="N401" s="32" t="str">
        <f aca="false">IF(G401="","",IF(G401&gt;=0.5,"PASS","FIX HOOK"))</f>
        <v/>
      </c>
    </row>
    <row r="402" customFormat="false" ht="15" hidden="false" customHeight="false" outlineLevel="0" collapsed="false">
      <c r="A402" s="33"/>
      <c r="B402" s="33"/>
      <c r="C402" s="33"/>
      <c r="D402" s="33"/>
      <c r="E402" s="33"/>
      <c r="F402" s="34"/>
      <c r="G402" s="35"/>
      <c r="H402" s="34"/>
      <c r="I402" s="34"/>
      <c r="J402" s="34"/>
      <c r="K402" s="34"/>
      <c r="L402" s="31" t="str">
        <f aca="false">IFERROR(H402/F402*1000,"")</f>
        <v/>
      </c>
      <c r="M402" s="31" t="str">
        <f aca="false">IFERROR(I402/F402*1000,"")</f>
        <v/>
      </c>
      <c r="N402" s="32" t="str">
        <f aca="false">IF(G402="","",IF(G402&gt;=0.5,"PASS","FIX HOOK"))</f>
        <v/>
      </c>
    </row>
    <row r="403" customFormat="false" ht="15" hidden="false" customHeight="false" outlineLevel="0" collapsed="false">
      <c r="A403" s="33"/>
      <c r="B403" s="33"/>
      <c r="C403" s="33"/>
      <c r="D403" s="33"/>
      <c r="E403" s="33"/>
      <c r="F403" s="34"/>
      <c r="G403" s="35"/>
      <c r="H403" s="34"/>
      <c r="I403" s="34"/>
      <c r="J403" s="34"/>
      <c r="K403" s="34"/>
      <c r="L403" s="31" t="str">
        <f aca="false">IFERROR(H403/F403*1000,"")</f>
        <v/>
      </c>
      <c r="M403" s="31" t="str">
        <f aca="false">IFERROR(I403/F403*1000,"")</f>
        <v/>
      </c>
      <c r="N403" s="32" t="str">
        <f aca="false">IF(G403="","",IF(G403&gt;=0.5,"PASS","FIX HOOK"))</f>
        <v/>
      </c>
    </row>
    <row r="404" customFormat="false" ht="15" hidden="false" customHeight="false" outlineLevel="0" collapsed="false">
      <c r="A404" s="33"/>
      <c r="B404" s="33"/>
      <c r="C404" s="33"/>
      <c r="D404" s="33"/>
      <c r="E404" s="33"/>
      <c r="F404" s="34"/>
      <c r="G404" s="35"/>
      <c r="H404" s="34"/>
      <c r="I404" s="34"/>
      <c r="J404" s="34"/>
      <c r="K404" s="34"/>
      <c r="L404" s="31" t="str">
        <f aca="false">IFERROR(H404/F404*1000,"")</f>
        <v/>
      </c>
      <c r="M404" s="31" t="str">
        <f aca="false">IFERROR(I404/F404*1000,"")</f>
        <v/>
      </c>
      <c r="N404" s="32" t="str">
        <f aca="false">IF(G404="","",IF(G404&gt;=0.5,"PASS","FIX HOOK"))</f>
        <v/>
      </c>
    </row>
    <row r="405" customFormat="false" ht="15" hidden="false" customHeight="false" outlineLevel="0" collapsed="false">
      <c r="A405" s="33"/>
      <c r="B405" s="33"/>
      <c r="C405" s="33"/>
      <c r="D405" s="33"/>
      <c r="E405" s="33"/>
      <c r="F405" s="34"/>
      <c r="G405" s="35"/>
      <c r="H405" s="34"/>
      <c r="I405" s="34"/>
      <c r="J405" s="34"/>
      <c r="K405" s="34"/>
      <c r="L405" s="31" t="str">
        <f aca="false">IFERROR(H405/F405*1000,"")</f>
        <v/>
      </c>
      <c r="M405" s="31" t="str">
        <f aca="false">IFERROR(I405/F405*1000,"")</f>
        <v/>
      </c>
      <c r="N405" s="32" t="str">
        <f aca="false">IF(G405="","",IF(G405&gt;=0.5,"PASS","FIX HOOK"))</f>
        <v/>
      </c>
    </row>
    <row r="406" customFormat="false" ht="15" hidden="false" customHeight="false" outlineLevel="0" collapsed="false">
      <c r="A406" s="33"/>
      <c r="B406" s="33"/>
      <c r="C406" s="33"/>
      <c r="D406" s="33"/>
      <c r="E406" s="33"/>
      <c r="F406" s="34"/>
      <c r="G406" s="35"/>
      <c r="H406" s="34"/>
      <c r="I406" s="34"/>
      <c r="J406" s="34"/>
      <c r="K406" s="34"/>
      <c r="L406" s="31" t="str">
        <f aca="false">IFERROR(H406/F406*1000,"")</f>
        <v/>
      </c>
      <c r="M406" s="31" t="str">
        <f aca="false">IFERROR(I406/F406*1000,"")</f>
        <v/>
      </c>
      <c r="N406" s="32" t="str">
        <f aca="false">IF(G406="","",IF(G406&gt;=0.5,"PASS","FIX HOOK"))</f>
        <v/>
      </c>
    </row>
    <row r="407" customFormat="false" ht="15" hidden="false" customHeight="false" outlineLevel="0" collapsed="false">
      <c r="A407" s="33"/>
      <c r="B407" s="33"/>
      <c r="C407" s="33"/>
      <c r="D407" s="33"/>
      <c r="E407" s="33"/>
      <c r="F407" s="34"/>
      <c r="G407" s="35"/>
      <c r="H407" s="34"/>
      <c r="I407" s="34"/>
      <c r="J407" s="34"/>
      <c r="K407" s="34"/>
      <c r="L407" s="31" t="str">
        <f aca="false">IFERROR(H407/F407*1000,"")</f>
        <v/>
      </c>
      <c r="M407" s="31" t="str">
        <f aca="false">IFERROR(I407/F407*1000,"")</f>
        <v/>
      </c>
      <c r="N407" s="32" t="str">
        <f aca="false">IF(G407="","",IF(G407&gt;=0.5,"PASS","FIX HOOK"))</f>
        <v/>
      </c>
    </row>
    <row r="408" customFormat="false" ht="15" hidden="false" customHeight="false" outlineLevel="0" collapsed="false">
      <c r="A408" s="33"/>
      <c r="B408" s="33"/>
      <c r="C408" s="33"/>
      <c r="D408" s="33"/>
      <c r="E408" s="33"/>
      <c r="F408" s="34"/>
      <c r="G408" s="35"/>
      <c r="H408" s="34"/>
      <c r="I408" s="34"/>
      <c r="J408" s="34"/>
      <c r="K408" s="34"/>
      <c r="L408" s="31" t="str">
        <f aca="false">IFERROR(H408/F408*1000,"")</f>
        <v/>
      </c>
      <c r="M408" s="31" t="str">
        <f aca="false">IFERROR(I408/F408*1000,"")</f>
        <v/>
      </c>
      <c r="N408" s="32" t="str">
        <f aca="false">IF(G408="","",IF(G408&gt;=0.5,"PASS","FIX HOOK"))</f>
        <v/>
      </c>
    </row>
    <row r="409" customFormat="false" ht="15" hidden="false" customHeight="false" outlineLevel="0" collapsed="false">
      <c r="A409" s="33"/>
      <c r="B409" s="33"/>
      <c r="C409" s="33"/>
      <c r="D409" s="33"/>
      <c r="E409" s="33"/>
      <c r="F409" s="34"/>
      <c r="G409" s="35"/>
      <c r="H409" s="34"/>
      <c r="I409" s="34"/>
      <c r="J409" s="34"/>
      <c r="K409" s="34"/>
      <c r="L409" s="31" t="str">
        <f aca="false">IFERROR(H409/F409*1000,"")</f>
        <v/>
      </c>
      <c r="M409" s="31" t="str">
        <f aca="false">IFERROR(I409/F409*1000,"")</f>
        <v/>
      </c>
      <c r="N409" s="32" t="str">
        <f aca="false">IF(G409="","",IF(G409&gt;=0.5,"PASS","FIX HOOK"))</f>
        <v/>
      </c>
    </row>
    <row r="410" customFormat="false" ht="15" hidden="false" customHeight="false" outlineLevel="0" collapsed="false">
      <c r="A410" s="33"/>
      <c r="B410" s="33"/>
      <c r="C410" s="33"/>
      <c r="D410" s="33"/>
      <c r="E410" s="33"/>
      <c r="F410" s="34"/>
      <c r="G410" s="35"/>
      <c r="H410" s="34"/>
      <c r="I410" s="34"/>
      <c r="J410" s="34"/>
      <c r="K410" s="34"/>
      <c r="L410" s="31" t="str">
        <f aca="false">IFERROR(H410/F410*1000,"")</f>
        <v/>
      </c>
      <c r="M410" s="31" t="str">
        <f aca="false">IFERROR(I410/F410*1000,"")</f>
        <v/>
      </c>
      <c r="N410" s="32" t="str">
        <f aca="false">IF(G410="","",IF(G410&gt;=0.5,"PASS","FIX HOOK"))</f>
        <v/>
      </c>
    </row>
    <row r="411" customFormat="false" ht="15" hidden="false" customHeight="false" outlineLevel="0" collapsed="false">
      <c r="A411" s="33"/>
      <c r="B411" s="33"/>
      <c r="C411" s="33"/>
      <c r="D411" s="33"/>
      <c r="E411" s="33"/>
      <c r="F411" s="34"/>
      <c r="G411" s="35"/>
      <c r="H411" s="34"/>
      <c r="I411" s="34"/>
      <c r="J411" s="34"/>
      <c r="K411" s="34"/>
      <c r="L411" s="31" t="str">
        <f aca="false">IFERROR(H411/F411*1000,"")</f>
        <v/>
      </c>
      <c r="M411" s="31" t="str">
        <f aca="false">IFERROR(I411/F411*1000,"")</f>
        <v/>
      </c>
      <c r="N411" s="32" t="str">
        <f aca="false">IF(G411="","",IF(G411&gt;=0.5,"PASS","FIX HOOK"))</f>
        <v/>
      </c>
    </row>
    <row r="412" customFormat="false" ht="15" hidden="false" customHeight="false" outlineLevel="0" collapsed="false">
      <c r="A412" s="33"/>
      <c r="B412" s="33"/>
      <c r="C412" s="33"/>
      <c r="D412" s="33"/>
      <c r="E412" s="33"/>
      <c r="F412" s="34"/>
      <c r="G412" s="35"/>
      <c r="H412" s="34"/>
      <c r="I412" s="34"/>
      <c r="J412" s="34"/>
      <c r="K412" s="34"/>
      <c r="L412" s="31" t="str">
        <f aca="false">IFERROR(H412/F412*1000,"")</f>
        <v/>
      </c>
      <c r="M412" s="31" t="str">
        <f aca="false">IFERROR(I412/F412*1000,"")</f>
        <v/>
      </c>
      <c r="N412" s="32" t="str">
        <f aca="false">IF(G412="","",IF(G412&gt;=0.5,"PASS","FIX HOOK"))</f>
        <v/>
      </c>
    </row>
    <row r="413" customFormat="false" ht="15" hidden="false" customHeight="false" outlineLevel="0" collapsed="false">
      <c r="A413" s="33"/>
      <c r="B413" s="33"/>
      <c r="C413" s="33"/>
      <c r="D413" s="33"/>
      <c r="E413" s="33"/>
      <c r="F413" s="34"/>
      <c r="G413" s="35"/>
      <c r="H413" s="34"/>
      <c r="I413" s="34"/>
      <c r="J413" s="34"/>
      <c r="K413" s="34"/>
      <c r="L413" s="31" t="str">
        <f aca="false">IFERROR(H413/F413*1000,"")</f>
        <v/>
      </c>
      <c r="M413" s="31" t="str">
        <f aca="false">IFERROR(I413/F413*1000,"")</f>
        <v/>
      </c>
      <c r="N413" s="32" t="str">
        <f aca="false">IF(G413="","",IF(G413&gt;=0.5,"PASS","FIX HOOK"))</f>
        <v/>
      </c>
    </row>
    <row r="414" customFormat="false" ht="15" hidden="false" customHeight="false" outlineLevel="0" collapsed="false">
      <c r="A414" s="33"/>
      <c r="B414" s="33"/>
      <c r="C414" s="33"/>
      <c r="D414" s="33"/>
      <c r="E414" s="33"/>
      <c r="F414" s="34"/>
      <c r="G414" s="35"/>
      <c r="H414" s="34"/>
      <c r="I414" s="34"/>
      <c r="J414" s="34"/>
      <c r="K414" s="34"/>
      <c r="L414" s="31" t="str">
        <f aca="false">IFERROR(H414/F414*1000,"")</f>
        <v/>
      </c>
      <c r="M414" s="31" t="str">
        <f aca="false">IFERROR(I414/F414*1000,"")</f>
        <v/>
      </c>
      <c r="N414" s="32" t="str">
        <f aca="false">IF(G414="","",IF(G414&gt;=0.5,"PASS","FIX HOOK"))</f>
        <v/>
      </c>
    </row>
    <row r="415" customFormat="false" ht="15" hidden="false" customHeight="false" outlineLevel="0" collapsed="false">
      <c r="A415" s="33"/>
      <c r="B415" s="33"/>
      <c r="C415" s="33"/>
      <c r="D415" s="33"/>
      <c r="E415" s="33"/>
      <c r="F415" s="34"/>
      <c r="G415" s="35"/>
      <c r="H415" s="34"/>
      <c r="I415" s="34"/>
      <c r="J415" s="34"/>
      <c r="K415" s="34"/>
      <c r="L415" s="31" t="str">
        <f aca="false">IFERROR(H415/F415*1000,"")</f>
        <v/>
      </c>
      <c r="M415" s="31" t="str">
        <f aca="false">IFERROR(I415/F415*1000,"")</f>
        <v/>
      </c>
      <c r="N415" s="32" t="str">
        <f aca="false">IF(G415="","",IF(G415&gt;=0.5,"PASS","FIX HOOK"))</f>
        <v/>
      </c>
    </row>
    <row r="416" customFormat="false" ht="15" hidden="false" customHeight="false" outlineLevel="0" collapsed="false">
      <c r="A416" s="33"/>
      <c r="B416" s="33"/>
      <c r="C416" s="33"/>
      <c r="D416" s="33"/>
      <c r="E416" s="33"/>
      <c r="F416" s="34"/>
      <c r="G416" s="35"/>
      <c r="H416" s="34"/>
      <c r="I416" s="34"/>
      <c r="J416" s="34"/>
      <c r="K416" s="34"/>
      <c r="L416" s="31" t="str">
        <f aca="false">IFERROR(H416/F416*1000,"")</f>
        <v/>
      </c>
      <c r="M416" s="31" t="str">
        <f aca="false">IFERROR(I416/F416*1000,"")</f>
        <v/>
      </c>
      <c r="N416" s="32" t="str">
        <f aca="false">IF(G416="","",IF(G416&gt;=0.5,"PASS","FIX HOOK"))</f>
        <v/>
      </c>
    </row>
    <row r="417" customFormat="false" ht="15" hidden="false" customHeight="false" outlineLevel="0" collapsed="false">
      <c r="A417" s="33"/>
      <c r="B417" s="33"/>
      <c r="C417" s="33"/>
      <c r="D417" s="33"/>
      <c r="E417" s="33"/>
      <c r="F417" s="34"/>
      <c r="G417" s="35"/>
      <c r="H417" s="34"/>
      <c r="I417" s="34"/>
      <c r="J417" s="34"/>
      <c r="K417" s="34"/>
      <c r="L417" s="31" t="str">
        <f aca="false">IFERROR(H417/F417*1000,"")</f>
        <v/>
      </c>
      <c r="M417" s="31" t="str">
        <f aca="false">IFERROR(I417/F417*1000,"")</f>
        <v/>
      </c>
      <c r="N417" s="32" t="str">
        <f aca="false">IF(G417="","",IF(G417&gt;=0.5,"PASS","FIX HOOK"))</f>
        <v/>
      </c>
    </row>
    <row r="418" customFormat="false" ht="15" hidden="false" customHeight="false" outlineLevel="0" collapsed="false">
      <c r="A418" s="33"/>
      <c r="B418" s="33"/>
      <c r="C418" s="33"/>
      <c r="D418" s="33"/>
      <c r="E418" s="33"/>
      <c r="F418" s="34"/>
      <c r="G418" s="35"/>
      <c r="H418" s="34"/>
      <c r="I418" s="34"/>
      <c r="J418" s="34"/>
      <c r="K418" s="34"/>
      <c r="L418" s="31" t="str">
        <f aca="false">IFERROR(H418/F418*1000,"")</f>
        <v/>
      </c>
      <c r="M418" s="31" t="str">
        <f aca="false">IFERROR(I418/F418*1000,"")</f>
        <v/>
      </c>
      <c r="N418" s="32" t="str">
        <f aca="false">IF(G418="","",IF(G418&gt;=0.5,"PASS","FIX HOOK"))</f>
        <v/>
      </c>
    </row>
    <row r="419" customFormat="false" ht="15" hidden="false" customHeight="false" outlineLevel="0" collapsed="false">
      <c r="A419" s="33"/>
      <c r="B419" s="33"/>
      <c r="C419" s="33"/>
      <c r="D419" s="33"/>
      <c r="E419" s="33"/>
      <c r="F419" s="34"/>
      <c r="G419" s="35"/>
      <c r="H419" s="34"/>
      <c r="I419" s="34"/>
      <c r="J419" s="34"/>
      <c r="K419" s="34"/>
      <c r="L419" s="31" t="str">
        <f aca="false">IFERROR(H419/F419*1000,"")</f>
        <v/>
      </c>
      <c r="M419" s="31" t="str">
        <f aca="false">IFERROR(I419/F419*1000,"")</f>
        <v/>
      </c>
      <c r="N419" s="32" t="str">
        <f aca="false">IF(G419="","",IF(G419&gt;=0.5,"PASS","FIX HOOK"))</f>
        <v/>
      </c>
    </row>
    <row r="420" customFormat="false" ht="15" hidden="false" customHeight="false" outlineLevel="0" collapsed="false">
      <c r="A420" s="33"/>
      <c r="B420" s="33"/>
      <c r="C420" s="33"/>
      <c r="D420" s="33"/>
      <c r="E420" s="33"/>
      <c r="F420" s="34"/>
      <c r="G420" s="35"/>
      <c r="H420" s="34"/>
      <c r="I420" s="34"/>
      <c r="J420" s="34"/>
      <c r="K420" s="34"/>
      <c r="L420" s="31" t="str">
        <f aca="false">IFERROR(H420/F420*1000,"")</f>
        <v/>
      </c>
      <c r="M420" s="31" t="str">
        <f aca="false">IFERROR(I420/F420*1000,"")</f>
        <v/>
      </c>
      <c r="N420" s="32" t="str">
        <f aca="false">IF(G420="","",IF(G420&gt;=0.5,"PASS","FIX HOOK"))</f>
        <v/>
      </c>
    </row>
    <row r="421" customFormat="false" ht="15" hidden="false" customHeight="false" outlineLevel="0" collapsed="false">
      <c r="A421" s="33"/>
      <c r="B421" s="33"/>
      <c r="C421" s="33"/>
      <c r="D421" s="33"/>
      <c r="E421" s="33"/>
      <c r="F421" s="34"/>
      <c r="G421" s="35"/>
      <c r="H421" s="34"/>
      <c r="I421" s="34"/>
      <c r="J421" s="34"/>
      <c r="K421" s="34"/>
      <c r="L421" s="31" t="str">
        <f aca="false">IFERROR(H421/F421*1000,"")</f>
        <v/>
      </c>
      <c r="M421" s="31" t="str">
        <f aca="false">IFERROR(I421/F421*1000,"")</f>
        <v/>
      </c>
      <c r="N421" s="32" t="str">
        <f aca="false">IF(G421="","",IF(G421&gt;=0.5,"PASS","FIX HOOK"))</f>
        <v/>
      </c>
    </row>
    <row r="422" customFormat="false" ht="15" hidden="false" customHeight="false" outlineLevel="0" collapsed="false">
      <c r="A422" s="33"/>
      <c r="B422" s="33"/>
      <c r="C422" s="33"/>
      <c r="D422" s="33"/>
      <c r="E422" s="33"/>
      <c r="F422" s="34"/>
      <c r="G422" s="35"/>
      <c r="H422" s="34"/>
      <c r="I422" s="34"/>
      <c r="J422" s="34"/>
      <c r="K422" s="34"/>
      <c r="L422" s="31" t="str">
        <f aca="false">IFERROR(H422/F422*1000,"")</f>
        <v/>
      </c>
      <c r="M422" s="31" t="str">
        <f aca="false">IFERROR(I422/F422*1000,"")</f>
        <v/>
      </c>
      <c r="N422" s="32" t="str">
        <f aca="false">IF(G422="","",IF(G422&gt;=0.5,"PASS","FIX HOOK"))</f>
        <v/>
      </c>
    </row>
    <row r="423" customFormat="false" ht="15" hidden="false" customHeight="false" outlineLevel="0" collapsed="false">
      <c r="A423" s="33"/>
      <c r="B423" s="33"/>
      <c r="C423" s="33"/>
      <c r="D423" s="33"/>
      <c r="E423" s="33"/>
      <c r="F423" s="34"/>
      <c r="G423" s="35"/>
      <c r="H423" s="34"/>
      <c r="I423" s="34"/>
      <c r="J423" s="34"/>
      <c r="K423" s="34"/>
      <c r="L423" s="31" t="str">
        <f aca="false">IFERROR(H423/F423*1000,"")</f>
        <v/>
      </c>
      <c r="M423" s="31" t="str">
        <f aca="false">IFERROR(I423/F423*1000,"")</f>
        <v/>
      </c>
      <c r="N423" s="32" t="str">
        <f aca="false">IF(G423="","",IF(G423&gt;=0.5,"PASS","FIX HOOK"))</f>
        <v/>
      </c>
    </row>
    <row r="424" customFormat="false" ht="15" hidden="false" customHeight="false" outlineLevel="0" collapsed="false">
      <c r="A424" s="33"/>
      <c r="B424" s="33"/>
      <c r="C424" s="33"/>
      <c r="D424" s="33"/>
      <c r="E424" s="33"/>
      <c r="F424" s="34"/>
      <c r="G424" s="35"/>
      <c r="H424" s="34"/>
      <c r="I424" s="34"/>
      <c r="J424" s="34"/>
      <c r="K424" s="34"/>
      <c r="L424" s="31" t="str">
        <f aca="false">IFERROR(H424/F424*1000,"")</f>
        <v/>
      </c>
      <c r="M424" s="31" t="str">
        <f aca="false">IFERROR(I424/F424*1000,"")</f>
        <v/>
      </c>
      <c r="N424" s="32" t="str">
        <f aca="false">IF(G424="","",IF(G424&gt;=0.5,"PASS","FIX HOOK"))</f>
        <v/>
      </c>
    </row>
    <row r="425" customFormat="false" ht="15" hidden="false" customHeight="false" outlineLevel="0" collapsed="false">
      <c r="A425" s="33"/>
      <c r="B425" s="33"/>
      <c r="C425" s="33"/>
      <c r="D425" s="33"/>
      <c r="E425" s="33"/>
      <c r="F425" s="34"/>
      <c r="G425" s="35"/>
      <c r="H425" s="34"/>
      <c r="I425" s="34"/>
      <c r="J425" s="34"/>
      <c r="K425" s="34"/>
      <c r="L425" s="31" t="str">
        <f aca="false">IFERROR(H425/F425*1000,"")</f>
        <v/>
      </c>
      <c r="M425" s="31" t="str">
        <f aca="false">IFERROR(I425/F425*1000,"")</f>
        <v/>
      </c>
      <c r="N425" s="32" t="str">
        <f aca="false">IF(G425="","",IF(G425&gt;=0.5,"PASS","FIX HOOK"))</f>
        <v/>
      </c>
    </row>
    <row r="426" customFormat="false" ht="15" hidden="false" customHeight="false" outlineLevel="0" collapsed="false">
      <c r="A426" s="33"/>
      <c r="B426" s="33"/>
      <c r="C426" s="33"/>
      <c r="D426" s="33"/>
      <c r="E426" s="33"/>
      <c r="F426" s="34"/>
      <c r="G426" s="35"/>
      <c r="H426" s="34"/>
      <c r="I426" s="34"/>
      <c r="J426" s="34"/>
      <c r="K426" s="34"/>
      <c r="L426" s="31" t="str">
        <f aca="false">IFERROR(H426/F426*1000,"")</f>
        <v/>
      </c>
      <c r="M426" s="31" t="str">
        <f aca="false">IFERROR(I426/F426*1000,"")</f>
        <v/>
      </c>
      <c r="N426" s="32" t="str">
        <f aca="false">IF(G426="","",IF(G426&gt;=0.5,"PASS","FIX HOOK"))</f>
        <v/>
      </c>
    </row>
    <row r="427" customFormat="false" ht="15" hidden="false" customHeight="false" outlineLevel="0" collapsed="false">
      <c r="A427" s="33"/>
      <c r="B427" s="33"/>
      <c r="C427" s="33"/>
      <c r="D427" s="33"/>
      <c r="E427" s="33"/>
      <c r="F427" s="34"/>
      <c r="G427" s="35"/>
      <c r="H427" s="34"/>
      <c r="I427" s="34"/>
      <c r="J427" s="34"/>
      <c r="K427" s="34"/>
      <c r="L427" s="31" t="str">
        <f aca="false">IFERROR(H427/F427*1000,"")</f>
        <v/>
      </c>
      <c r="M427" s="31" t="str">
        <f aca="false">IFERROR(I427/F427*1000,"")</f>
        <v/>
      </c>
      <c r="N427" s="32" t="str">
        <f aca="false">IF(G427="","",IF(G427&gt;=0.5,"PASS","FIX HOOK"))</f>
        <v/>
      </c>
    </row>
    <row r="428" customFormat="false" ht="15" hidden="false" customHeight="false" outlineLevel="0" collapsed="false">
      <c r="A428" s="33"/>
      <c r="B428" s="33"/>
      <c r="C428" s="33"/>
      <c r="D428" s="33"/>
      <c r="E428" s="33"/>
      <c r="F428" s="34"/>
      <c r="G428" s="35"/>
      <c r="H428" s="34"/>
      <c r="I428" s="34"/>
      <c r="J428" s="34"/>
      <c r="K428" s="34"/>
      <c r="L428" s="31" t="str">
        <f aca="false">IFERROR(H428/F428*1000,"")</f>
        <v/>
      </c>
      <c r="M428" s="31" t="str">
        <f aca="false">IFERROR(I428/F428*1000,"")</f>
        <v/>
      </c>
      <c r="N428" s="32" t="str">
        <f aca="false">IF(G428="","",IF(G428&gt;=0.5,"PASS","FIX HOOK"))</f>
        <v/>
      </c>
    </row>
    <row r="429" customFormat="false" ht="15" hidden="false" customHeight="false" outlineLevel="0" collapsed="false">
      <c r="A429" s="33"/>
      <c r="B429" s="33"/>
      <c r="C429" s="33"/>
      <c r="D429" s="33"/>
      <c r="E429" s="33"/>
      <c r="F429" s="34"/>
      <c r="G429" s="35"/>
      <c r="H429" s="34"/>
      <c r="I429" s="34"/>
      <c r="J429" s="34"/>
      <c r="K429" s="34"/>
      <c r="L429" s="31" t="str">
        <f aca="false">IFERROR(H429/F429*1000,"")</f>
        <v/>
      </c>
      <c r="M429" s="31" t="str">
        <f aca="false">IFERROR(I429/F429*1000,"")</f>
        <v/>
      </c>
      <c r="N429" s="32" t="str">
        <f aca="false">IF(G429="","",IF(G429&gt;=0.5,"PASS","FIX HOOK"))</f>
        <v/>
      </c>
    </row>
    <row r="430" customFormat="false" ht="15" hidden="false" customHeight="false" outlineLevel="0" collapsed="false">
      <c r="A430" s="33"/>
      <c r="B430" s="33"/>
      <c r="C430" s="33"/>
      <c r="D430" s="33"/>
      <c r="E430" s="33"/>
      <c r="F430" s="34"/>
      <c r="G430" s="35"/>
      <c r="H430" s="34"/>
      <c r="I430" s="34"/>
      <c r="J430" s="34"/>
      <c r="K430" s="34"/>
      <c r="L430" s="31" t="str">
        <f aca="false">IFERROR(H430/F430*1000,"")</f>
        <v/>
      </c>
      <c r="M430" s="31" t="str">
        <f aca="false">IFERROR(I430/F430*1000,"")</f>
        <v/>
      </c>
      <c r="N430" s="32" t="str">
        <f aca="false">IF(G430="","",IF(G430&gt;=0.5,"PASS","FIX HOOK"))</f>
        <v/>
      </c>
    </row>
    <row r="431" customFormat="false" ht="15" hidden="false" customHeight="false" outlineLevel="0" collapsed="false">
      <c r="A431" s="33"/>
      <c r="B431" s="33"/>
      <c r="C431" s="33"/>
      <c r="D431" s="33"/>
      <c r="E431" s="33"/>
      <c r="F431" s="34"/>
      <c r="G431" s="35"/>
      <c r="H431" s="34"/>
      <c r="I431" s="34"/>
      <c r="J431" s="34"/>
      <c r="K431" s="34"/>
      <c r="L431" s="31" t="str">
        <f aca="false">IFERROR(H431/F431*1000,"")</f>
        <v/>
      </c>
      <c r="M431" s="31" t="str">
        <f aca="false">IFERROR(I431/F431*1000,"")</f>
        <v/>
      </c>
      <c r="N431" s="32" t="str">
        <f aca="false">IF(G431="","",IF(G431&gt;=0.5,"PASS","FIX HOOK"))</f>
        <v/>
      </c>
    </row>
    <row r="432" customFormat="false" ht="15" hidden="false" customHeight="false" outlineLevel="0" collapsed="false">
      <c r="A432" s="33"/>
      <c r="B432" s="33"/>
      <c r="C432" s="33"/>
      <c r="D432" s="33"/>
      <c r="E432" s="33"/>
      <c r="F432" s="34"/>
      <c r="G432" s="35"/>
      <c r="H432" s="34"/>
      <c r="I432" s="34"/>
      <c r="J432" s="34"/>
      <c r="K432" s="34"/>
      <c r="L432" s="31" t="str">
        <f aca="false">IFERROR(H432/F432*1000,"")</f>
        <v/>
      </c>
      <c r="M432" s="31" t="str">
        <f aca="false">IFERROR(I432/F432*1000,"")</f>
        <v/>
      </c>
      <c r="N432" s="32" t="str">
        <f aca="false">IF(G432="","",IF(G432&gt;=0.5,"PASS","FIX HOOK"))</f>
        <v/>
      </c>
    </row>
    <row r="433" customFormat="false" ht="15" hidden="false" customHeight="false" outlineLevel="0" collapsed="false">
      <c r="A433" s="33"/>
      <c r="B433" s="33"/>
      <c r="C433" s="33"/>
      <c r="D433" s="33"/>
      <c r="E433" s="33"/>
      <c r="F433" s="34"/>
      <c r="G433" s="35"/>
      <c r="H433" s="34"/>
      <c r="I433" s="34"/>
      <c r="J433" s="34"/>
      <c r="K433" s="34"/>
      <c r="L433" s="31" t="str">
        <f aca="false">IFERROR(H433/F433*1000,"")</f>
        <v/>
      </c>
      <c r="M433" s="31" t="str">
        <f aca="false">IFERROR(I433/F433*1000,"")</f>
        <v/>
      </c>
      <c r="N433" s="32" t="str">
        <f aca="false">IF(G433="","",IF(G433&gt;=0.5,"PASS","FIX HOOK"))</f>
        <v/>
      </c>
    </row>
    <row r="434" customFormat="false" ht="15" hidden="false" customHeight="false" outlineLevel="0" collapsed="false">
      <c r="A434" s="33"/>
      <c r="B434" s="33"/>
      <c r="C434" s="33"/>
      <c r="D434" s="33"/>
      <c r="E434" s="33"/>
      <c r="F434" s="34"/>
      <c r="G434" s="35"/>
      <c r="H434" s="34"/>
      <c r="I434" s="34"/>
      <c r="J434" s="34"/>
      <c r="K434" s="34"/>
      <c r="L434" s="31" t="str">
        <f aca="false">IFERROR(H434/F434*1000,"")</f>
        <v/>
      </c>
      <c r="M434" s="31" t="str">
        <f aca="false">IFERROR(I434/F434*1000,"")</f>
        <v/>
      </c>
      <c r="N434" s="32" t="str">
        <f aca="false">IF(G434="","",IF(G434&gt;=0.5,"PASS","FIX HOOK"))</f>
        <v/>
      </c>
    </row>
    <row r="435" customFormat="false" ht="15" hidden="false" customHeight="false" outlineLevel="0" collapsed="false">
      <c r="A435" s="33"/>
      <c r="B435" s="33"/>
      <c r="C435" s="33"/>
      <c r="D435" s="33"/>
      <c r="E435" s="33"/>
      <c r="F435" s="34"/>
      <c r="G435" s="35"/>
      <c r="H435" s="34"/>
      <c r="I435" s="34"/>
      <c r="J435" s="34"/>
      <c r="K435" s="34"/>
      <c r="L435" s="31" t="str">
        <f aca="false">IFERROR(H435/F435*1000,"")</f>
        <v/>
      </c>
      <c r="M435" s="31" t="str">
        <f aca="false">IFERROR(I435/F435*1000,"")</f>
        <v/>
      </c>
      <c r="N435" s="32" t="str">
        <f aca="false">IF(G435="","",IF(G435&gt;=0.5,"PASS","FIX HOOK"))</f>
        <v/>
      </c>
    </row>
    <row r="436" customFormat="false" ht="15" hidden="false" customHeight="false" outlineLevel="0" collapsed="false">
      <c r="A436" s="33"/>
      <c r="B436" s="33"/>
      <c r="C436" s="33"/>
      <c r="D436" s="33"/>
      <c r="E436" s="33"/>
      <c r="F436" s="34"/>
      <c r="G436" s="35"/>
      <c r="H436" s="34"/>
      <c r="I436" s="34"/>
      <c r="J436" s="34"/>
      <c r="K436" s="34"/>
      <c r="L436" s="31" t="str">
        <f aca="false">IFERROR(H436/F436*1000,"")</f>
        <v/>
      </c>
      <c r="M436" s="31" t="str">
        <f aca="false">IFERROR(I436/F436*1000,"")</f>
        <v/>
      </c>
      <c r="N436" s="32" t="str">
        <f aca="false">IF(G436="","",IF(G436&gt;=0.5,"PASS","FIX HOOK"))</f>
        <v/>
      </c>
    </row>
    <row r="437" customFormat="false" ht="15" hidden="false" customHeight="false" outlineLevel="0" collapsed="false">
      <c r="A437" s="33"/>
      <c r="B437" s="33"/>
      <c r="C437" s="33"/>
      <c r="D437" s="33"/>
      <c r="E437" s="33"/>
      <c r="F437" s="34"/>
      <c r="G437" s="35"/>
      <c r="H437" s="34"/>
      <c r="I437" s="34"/>
      <c r="J437" s="34"/>
      <c r="K437" s="34"/>
      <c r="L437" s="31" t="str">
        <f aca="false">IFERROR(H437/F437*1000,"")</f>
        <v/>
      </c>
      <c r="M437" s="31" t="str">
        <f aca="false">IFERROR(I437/F437*1000,"")</f>
        <v/>
      </c>
      <c r="N437" s="32" t="str">
        <f aca="false">IF(G437="","",IF(G437&gt;=0.5,"PASS","FIX HOOK"))</f>
        <v/>
      </c>
    </row>
    <row r="438" customFormat="false" ht="15" hidden="false" customHeight="false" outlineLevel="0" collapsed="false">
      <c r="A438" s="33"/>
      <c r="B438" s="33"/>
      <c r="C438" s="33"/>
      <c r="D438" s="33"/>
      <c r="E438" s="33"/>
      <c r="F438" s="34"/>
      <c r="G438" s="35"/>
      <c r="H438" s="34"/>
      <c r="I438" s="34"/>
      <c r="J438" s="34"/>
      <c r="K438" s="34"/>
      <c r="L438" s="31" t="str">
        <f aca="false">IFERROR(H438/F438*1000,"")</f>
        <v/>
      </c>
      <c r="M438" s="31" t="str">
        <f aca="false">IFERROR(I438/F438*1000,"")</f>
        <v/>
      </c>
      <c r="N438" s="32" t="str">
        <f aca="false">IF(G438="","",IF(G438&gt;=0.5,"PASS","FIX HOOK"))</f>
        <v/>
      </c>
    </row>
    <row r="439" customFormat="false" ht="15" hidden="false" customHeight="false" outlineLevel="0" collapsed="false">
      <c r="A439" s="33"/>
      <c r="B439" s="33"/>
      <c r="C439" s="33"/>
      <c r="D439" s="33"/>
      <c r="E439" s="33"/>
      <c r="F439" s="34"/>
      <c r="G439" s="35"/>
      <c r="H439" s="34"/>
      <c r="I439" s="34"/>
      <c r="J439" s="34"/>
      <c r="K439" s="34"/>
      <c r="L439" s="31" t="str">
        <f aca="false">IFERROR(H439/F439*1000,"")</f>
        <v/>
      </c>
      <c r="M439" s="31" t="str">
        <f aca="false">IFERROR(I439/F439*1000,"")</f>
        <v/>
      </c>
      <c r="N439" s="32" t="str">
        <f aca="false">IF(G439="","",IF(G439&gt;=0.5,"PASS","FIX HOOK"))</f>
        <v/>
      </c>
    </row>
    <row r="440" customFormat="false" ht="15" hidden="false" customHeight="false" outlineLevel="0" collapsed="false">
      <c r="A440" s="33"/>
      <c r="B440" s="33"/>
      <c r="C440" s="33"/>
      <c r="D440" s="33"/>
      <c r="E440" s="33"/>
      <c r="F440" s="34"/>
      <c r="G440" s="35"/>
      <c r="H440" s="34"/>
      <c r="I440" s="34"/>
      <c r="J440" s="34"/>
      <c r="K440" s="34"/>
      <c r="L440" s="31" t="str">
        <f aca="false">IFERROR(H440/F440*1000,"")</f>
        <v/>
      </c>
      <c r="M440" s="31" t="str">
        <f aca="false">IFERROR(I440/F440*1000,"")</f>
        <v/>
      </c>
      <c r="N440" s="32" t="str">
        <f aca="false">IF(G440="","",IF(G440&gt;=0.5,"PASS","FIX HOOK"))</f>
        <v/>
      </c>
    </row>
    <row r="441" customFormat="false" ht="15" hidden="false" customHeight="false" outlineLevel="0" collapsed="false">
      <c r="A441" s="33"/>
      <c r="B441" s="33"/>
      <c r="C441" s="33"/>
      <c r="D441" s="33"/>
      <c r="E441" s="33"/>
      <c r="F441" s="34"/>
      <c r="G441" s="35"/>
      <c r="H441" s="34"/>
      <c r="I441" s="34"/>
      <c r="J441" s="34"/>
      <c r="K441" s="34"/>
      <c r="L441" s="31" t="str">
        <f aca="false">IFERROR(H441/F441*1000,"")</f>
        <v/>
      </c>
      <c r="M441" s="31" t="str">
        <f aca="false">IFERROR(I441/F441*1000,"")</f>
        <v/>
      </c>
      <c r="N441" s="32" t="str">
        <f aca="false">IF(G441="","",IF(G441&gt;=0.5,"PASS","FIX HOOK"))</f>
        <v/>
      </c>
    </row>
    <row r="442" customFormat="false" ht="15" hidden="false" customHeight="false" outlineLevel="0" collapsed="false">
      <c r="A442" s="33"/>
      <c r="B442" s="33"/>
      <c r="C442" s="33"/>
      <c r="D442" s="33"/>
      <c r="E442" s="33"/>
      <c r="F442" s="34"/>
      <c r="G442" s="35"/>
      <c r="H442" s="34"/>
      <c r="I442" s="34"/>
      <c r="J442" s="34"/>
      <c r="K442" s="34"/>
      <c r="L442" s="31" t="str">
        <f aca="false">IFERROR(H442/F442*1000,"")</f>
        <v/>
      </c>
      <c r="M442" s="31" t="str">
        <f aca="false">IFERROR(I442/F442*1000,"")</f>
        <v/>
      </c>
      <c r="N442" s="32" t="str">
        <f aca="false">IF(G442="","",IF(G442&gt;=0.5,"PASS","FIX HOOK"))</f>
        <v/>
      </c>
    </row>
    <row r="443" customFormat="false" ht="15" hidden="false" customHeight="false" outlineLevel="0" collapsed="false">
      <c r="A443" s="33"/>
      <c r="B443" s="33"/>
      <c r="C443" s="33"/>
      <c r="D443" s="33"/>
      <c r="E443" s="33"/>
      <c r="F443" s="34"/>
      <c r="G443" s="35"/>
      <c r="H443" s="34"/>
      <c r="I443" s="34"/>
      <c r="J443" s="34"/>
      <c r="K443" s="34"/>
      <c r="L443" s="31" t="str">
        <f aca="false">IFERROR(H443/F443*1000,"")</f>
        <v/>
      </c>
      <c r="M443" s="31" t="str">
        <f aca="false">IFERROR(I443/F443*1000,"")</f>
        <v/>
      </c>
      <c r="N443" s="32" t="str">
        <f aca="false">IF(G443="","",IF(G443&gt;=0.5,"PASS","FIX HOOK"))</f>
        <v/>
      </c>
    </row>
    <row r="444" customFormat="false" ht="15" hidden="false" customHeight="false" outlineLevel="0" collapsed="false">
      <c r="A444" s="33"/>
      <c r="B444" s="33"/>
      <c r="C444" s="33"/>
      <c r="D444" s="33"/>
      <c r="E444" s="33"/>
      <c r="F444" s="34"/>
      <c r="G444" s="35"/>
      <c r="H444" s="34"/>
      <c r="I444" s="34"/>
      <c r="J444" s="34"/>
      <c r="K444" s="34"/>
      <c r="L444" s="31" t="str">
        <f aca="false">IFERROR(H444/F444*1000,"")</f>
        <v/>
      </c>
      <c r="M444" s="31" t="str">
        <f aca="false">IFERROR(I444/F444*1000,"")</f>
        <v/>
      </c>
      <c r="N444" s="32" t="str">
        <f aca="false">IF(G444="","",IF(G444&gt;=0.5,"PASS","FIX HOOK"))</f>
        <v/>
      </c>
    </row>
    <row r="445" customFormat="false" ht="15" hidden="false" customHeight="false" outlineLevel="0" collapsed="false">
      <c r="A445" s="33"/>
      <c r="B445" s="33"/>
      <c r="C445" s="33"/>
      <c r="D445" s="33"/>
      <c r="E445" s="33"/>
      <c r="F445" s="34"/>
      <c r="G445" s="35"/>
      <c r="H445" s="34"/>
      <c r="I445" s="34"/>
      <c r="J445" s="34"/>
      <c r="K445" s="34"/>
      <c r="L445" s="31" t="str">
        <f aca="false">IFERROR(H445/F445*1000,"")</f>
        <v/>
      </c>
      <c r="M445" s="31" t="str">
        <f aca="false">IFERROR(I445/F445*1000,"")</f>
        <v/>
      </c>
      <c r="N445" s="32" t="str">
        <f aca="false">IF(G445="","",IF(G445&gt;=0.5,"PASS","FIX HOOK"))</f>
        <v/>
      </c>
    </row>
    <row r="446" customFormat="false" ht="15" hidden="false" customHeight="false" outlineLevel="0" collapsed="false">
      <c r="A446" s="33"/>
      <c r="B446" s="33"/>
      <c r="C446" s="33"/>
      <c r="D446" s="33"/>
      <c r="E446" s="33"/>
      <c r="F446" s="34"/>
      <c r="G446" s="35"/>
      <c r="H446" s="34"/>
      <c r="I446" s="34"/>
      <c r="J446" s="34"/>
      <c r="K446" s="34"/>
      <c r="L446" s="31" t="str">
        <f aca="false">IFERROR(H446/F446*1000,"")</f>
        <v/>
      </c>
      <c r="M446" s="31" t="str">
        <f aca="false">IFERROR(I446/F446*1000,"")</f>
        <v/>
      </c>
      <c r="N446" s="32" t="str">
        <f aca="false">IF(G446="","",IF(G446&gt;=0.5,"PASS","FIX HOOK"))</f>
        <v/>
      </c>
    </row>
    <row r="447" customFormat="false" ht="15" hidden="false" customHeight="false" outlineLevel="0" collapsed="false">
      <c r="A447" s="33"/>
      <c r="B447" s="33"/>
      <c r="C447" s="33"/>
      <c r="D447" s="33"/>
      <c r="E447" s="33"/>
      <c r="F447" s="34"/>
      <c r="G447" s="35"/>
      <c r="H447" s="34"/>
      <c r="I447" s="34"/>
      <c r="J447" s="34"/>
      <c r="K447" s="34"/>
      <c r="L447" s="31" t="str">
        <f aca="false">IFERROR(H447/F447*1000,"")</f>
        <v/>
      </c>
      <c r="M447" s="31" t="str">
        <f aca="false">IFERROR(I447/F447*1000,"")</f>
        <v/>
      </c>
      <c r="N447" s="32" t="str">
        <f aca="false">IF(G447="","",IF(G447&gt;=0.5,"PASS","FIX HOOK"))</f>
        <v/>
      </c>
    </row>
    <row r="448" customFormat="false" ht="15" hidden="false" customHeight="false" outlineLevel="0" collapsed="false">
      <c r="A448" s="33"/>
      <c r="B448" s="33"/>
      <c r="C448" s="33"/>
      <c r="D448" s="33"/>
      <c r="E448" s="33"/>
      <c r="F448" s="34"/>
      <c r="G448" s="35"/>
      <c r="H448" s="34"/>
      <c r="I448" s="34"/>
      <c r="J448" s="34"/>
      <c r="K448" s="34"/>
      <c r="L448" s="31" t="str">
        <f aca="false">IFERROR(H448/F448*1000,"")</f>
        <v/>
      </c>
      <c r="M448" s="31" t="str">
        <f aca="false">IFERROR(I448/F448*1000,"")</f>
        <v/>
      </c>
      <c r="N448" s="32" t="str">
        <f aca="false">IF(G448="","",IF(G448&gt;=0.5,"PASS","FIX HOOK"))</f>
        <v/>
      </c>
    </row>
    <row r="449" customFormat="false" ht="15" hidden="false" customHeight="false" outlineLevel="0" collapsed="false">
      <c r="A449" s="33"/>
      <c r="B449" s="33"/>
      <c r="C449" s="33"/>
      <c r="D449" s="33"/>
      <c r="E449" s="33"/>
      <c r="F449" s="34"/>
      <c r="G449" s="35"/>
      <c r="H449" s="34"/>
      <c r="I449" s="34"/>
      <c r="J449" s="34"/>
      <c r="K449" s="34"/>
      <c r="L449" s="31" t="str">
        <f aca="false">IFERROR(H449/F449*1000,"")</f>
        <v/>
      </c>
      <c r="M449" s="31" t="str">
        <f aca="false">IFERROR(I449/F449*1000,"")</f>
        <v/>
      </c>
      <c r="N449" s="32" t="str">
        <f aca="false">IF(G449="","",IF(G449&gt;=0.5,"PASS","FIX HOOK"))</f>
        <v/>
      </c>
    </row>
    <row r="450" customFormat="false" ht="15" hidden="false" customHeight="false" outlineLevel="0" collapsed="false">
      <c r="A450" s="33"/>
      <c r="B450" s="33"/>
      <c r="C450" s="33"/>
      <c r="D450" s="33"/>
      <c r="E450" s="33"/>
      <c r="F450" s="34"/>
      <c r="G450" s="35"/>
      <c r="H450" s="34"/>
      <c r="I450" s="34"/>
      <c r="J450" s="34"/>
      <c r="K450" s="34"/>
      <c r="L450" s="31" t="str">
        <f aca="false">IFERROR(H450/F450*1000,"")</f>
        <v/>
      </c>
      <c r="M450" s="31" t="str">
        <f aca="false">IFERROR(I450/F450*1000,"")</f>
        <v/>
      </c>
      <c r="N450" s="32" t="str">
        <f aca="false">IF(G450="","",IF(G450&gt;=0.5,"PASS","FIX HOOK"))</f>
        <v/>
      </c>
    </row>
    <row r="451" customFormat="false" ht="15" hidden="false" customHeight="false" outlineLevel="0" collapsed="false">
      <c r="A451" s="33"/>
      <c r="B451" s="33"/>
      <c r="C451" s="33"/>
      <c r="D451" s="33"/>
      <c r="E451" s="33"/>
      <c r="F451" s="34"/>
      <c r="G451" s="35"/>
      <c r="H451" s="34"/>
      <c r="I451" s="34"/>
      <c r="J451" s="34"/>
      <c r="K451" s="34"/>
      <c r="L451" s="31" t="str">
        <f aca="false">IFERROR(H451/F451*1000,"")</f>
        <v/>
      </c>
      <c r="M451" s="31" t="str">
        <f aca="false">IFERROR(I451/F451*1000,"")</f>
        <v/>
      </c>
      <c r="N451" s="32" t="str">
        <f aca="false">IF(G451="","",IF(G451&gt;=0.5,"PASS","FIX HOOK"))</f>
        <v/>
      </c>
    </row>
    <row r="452" customFormat="false" ht="15" hidden="false" customHeight="false" outlineLevel="0" collapsed="false">
      <c r="A452" s="33"/>
      <c r="B452" s="33"/>
      <c r="C452" s="33"/>
      <c r="D452" s="33"/>
      <c r="E452" s="33"/>
      <c r="F452" s="34"/>
      <c r="G452" s="35"/>
      <c r="H452" s="34"/>
      <c r="I452" s="34"/>
      <c r="J452" s="34"/>
      <c r="K452" s="34"/>
      <c r="L452" s="31" t="str">
        <f aca="false">IFERROR(H452/F452*1000,"")</f>
        <v/>
      </c>
      <c r="M452" s="31" t="str">
        <f aca="false">IFERROR(I452/F452*1000,"")</f>
        <v/>
      </c>
      <c r="N452" s="32" t="str">
        <f aca="false">IF(G452="","",IF(G452&gt;=0.5,"PASS","FIX HOOK"))</f>
        <v/>
      </c>
    </row>
    <row r="453" customFormat="false" ht="15" hidden="false" customHeight="false" outlineLevel="0" collapsed="false">
      <c r="A453" s="33"/>
      <c r="B453" s="33"/>
      <c r="C453" s="33"/>
      <c r="D453" s="33"/>
      <c r="E453" s="33"/>
      <c r="F453" s="34"/>
      <c r="G453" s="35"/>
      <c r="H453" s="34"/>
      <c r="I453" s="34"/>
      <c r="J453" s="34"/>
      <c r="K453" s="34"/>
      <c r="L453" s="31" t="str">
        <f aca="false">IFERROR(H453/F453*1000,"")</f>
        <v/>
      </c>
      <c r="M453" s="31" t="str">
        <f aca="false">IFERROR(I453/F453*1000,"")</f>
        <v/>
      </c>
      <c r="N453" s="32" t="str">
        <f aca="false">IF(G453="","",IF(G453&gt;=0.5,"PASS","FIX HOOK"))</f>
        <v/>
      </c>
    </row>
    <row r="454" customFormat="false" ht="15" hidden="false" customHeight="false" outlineLevel="0" collapsed="false">
      <c r="A454" s="33"/>
      <c r="B454" s="33"/>
      <c r="C454" s="33"/>
      <c r="D454" s="33"/>
      <c r="E454" s="33"/>
      <c r="F454" s="34"/>
      <c r="G454" s="35"/>
      <c r="H454" s="34"/>
      <c r="I454" s="34"/>
      <c r="J454" s="34"/>
      <c r="K454" s="34"/>
      <c r="L454" s="31" t="str">
        <f aca="false">IFERROR(H454/F454*1000,"")</f>
        <v/>
      </c>
      <c r="M454" s="31" t="str">
        <f aca="false">IFERROR(I454/F454*1000,"")</f>
        <v/>
      </c>
      <c r="N454" s="32" t="str">
        <f aca="false">IF(G454="","",IF(G454&gt;=0.5,"PASS","FIX HOOK"))</f>
        <v/>
      </c>
    </row>
    <row r="455" customFormat="false" ht="15" hidden="false" customHeight="false" outlineLevel="0" collapsed="false">
      <c r="A455" s="33"/>
      <c r="B455" s="33"/>
      <c r="C455" s="33"/>
      <c r="D455" s="33"/>
      <c r="E455" s="33"/>
      <c r="F455" s="34"/>
      <c r="G455" s="35"/>
      <c r="H455" s="34"/>
      <c r="I455" s="34"/>
      <c r="J455" s="34"/>
      <c r="K455" s="34"/>
      <c r="L455" s="31" t="str">
        <f aca="false">IFERROR(H455/F455*1000,"")</f>
        <v/>
      </c>
      <c r="M455" s="31" t="str">
        <f aca="false">IFERROR(I455/F455*1000,"")</f>
        <v/>
      </c>
      <c r="N455" s="32" t="str">
        <f aca="false">IF(G455="","",IF(G455&gt;=0.5,"PASS","FIX HOOK"))</f>
        <v/>
      </c>
    </row>
    <row r="456" customFormat="false" ht="15" hidden="false" customHeight="false" outlineLevel="0" collapsed="false">
      <c r="A456" s="33"/>
      <c r="B456" s="33"/>
      <c r="C456" s="33"/>
      <c r="D456" s="33"/>
      <c r="E456" s="33"/>
      <c r="F456" s="34"/>
      <c r="G456" s="35"/>
      <c r="H456" s="34"/>
      <c r="I456" s="34"/>
      <c r="J456" s="34"/>
      <c r="K456" s="34"/>
      <c r="L456" s="31" t="str">
        <f aca="false">IFERROR(H456/F456*1000,"")</f>
        <v/>
      </c>
      <c r="M456" s="31" t="str">
        <f aca="false">IFERROR(I456/F456*1000,"")</f>
        <v/>
      </c>
      <c r="N456" s="32" t="str">
        <f aca="false">IF(G456="","",IF(G456&gt;=0.5,"PASS","FIX HOOK"))</f>
        <v/>
      </c>
    </row>
    <row r="457" customFormat="false" ht="15" hidden="false" customHeight="false" outlineLevel="0" collapsed="false">
      <c r="A457" s="33"/>
      <c r="B457" s="33"/>
      <c r="C457" s="33"/>
      <c r="D457" s="33"/>
      <c r="E457" s="33"/>
      <c r="F457" s="34"/>
      <c r="G457" s="35"/>
      <c r="H457" s="34"/>
      <c r="I457" s="34"/>
      <c r="J457" s="34"/>
      <c r="K457" s="34"/>
      <c r="L457" s="31" t="str">
        <f aca="false">IFERROR(H457/F457*1000,"")</f>
        <v/>
      </c>
      <c r="M457" s="31" t="str">
        <f aca="false">IFERROR(I457/F457*1000,"")</f>
        <v/>
      </c>
      <c r="N457" s="32" t="str">
        <f aca="false">IF(G457="","",IF(G457&gt;=0.5,"PASS","FIX HOOK"))</f>
        <v/>
      </c>
    </row>
    <row r="458" customFormat="false" ht="15" hidden="false" customHeight="false" outlineLevel="0" collapsed="false">
      <c r="A458" s="33"/>
      <c r="B458" s="33"/>
      <c r="C458" s="33"/>
      <c r="D458" s="33"/>
      <c r="E458" s="33"/>
      <c r="F458" s="34"/>
      <c r="G458" s="35"/>
      <c r="H458" s="34"/>
      <c r="I458" s="34"/>
      <c r="J458" s="34"/>
      <c r="K458" s="34"/>
      <c r="L458" s="31" t="str">
        <f aca="false">IFERROR(H458/F458*1000,"")</f>
        <v/>
      </c>
      <c r="M458" s="31" t="str">
        <f aca="false">IFERROR(I458/F458*1000,"")</f>
        <v/>
      </c>
      <c r="N458" s="32" t="str">
        <f aca="false">IF(G458="","",IF(G458&gt;=0.5,"PASS","FIX HOOK"))</f>
        <v/>
      </c>
    </row>
    <row r="459" customFormat="false" ht="15" hidden="false" customHeight="false" outlineLevel="0" collapsed="false">
      <c r="A459" s="33"/>
      <c r="B459" s="33"/>
      <c r="C459" s="33"/>
      <c r="D459" s="33"/>
      <c r="E459" s="33"/>
      <c r="F459" s="34"/>
      <c r="G459" s="35"/>
      <c r="H459" s="34"/>
      <c r="I459" s="34"/>
      <c r="J459" s="34"/>
      <c r="K459" s="34"/>
      <c r="L459" s="31" t="str">
        <f aca="false">IFERROR(H459/F459*1000,"")</f>
        <v/>
      </c>
      <c r="M459" s="31" t="str">
        <f aca="false">IFERROR(I459/F459*1000,"")</f>
        <v/>
      </c>
      <c r="N459" s="32" t="str">
        <f aca="false">IF(G459="","",IF(G459&gt;=0.5,"PASS","FIX HOOK"))</f>
        <v/>
      </c>
    </row>
    <row r="460" customFormat="false" ht="15" hidden="false" customHeight="false" outlineLevel="0" collapsed="false">
      <c r="A460" s="33"/>
      <c r="B460" s="33"/>
      <c r="C460" s="33"/>
      <c r="D460" s="33"/>
      <c r="E460" s="33"/>
      <c r="F460" s="34"/>
      <c r="G460" s="35"/>
      <c r="H460" s="34"/>
      <c r="I460" s="34"/>
      <c r="J460" s="34"/>
      <c r="K460" s="34"/>
      <c r="L460" s="31" t="str">
        <f aca="false">IFERROR(H460/F460*1000,"")</f>
        <v/>
      </c>
      <c r="M460" s="31" t="str">
        <f aca="false">IFERROR(I460/F460*1000,"")</f>
        <v/>
      </c>
      <c r="N460" s="32" t="str">
        <f aca="false">IF(G460="","",IF(G460&gt;=0.5,"PASS","FIX HOOK"))</f>
        <v/>
      </c>
    </row>
    <row r="461" customFormat="false" ht="15" hidden="false" customHeight="false" outlineLevel="0" collapsed="false">
      <c r="A461" s="33"/>
      <c r="B461" s="33"/>
      <c r="C461" s="33"/>
      <c r="D461" s="33"/>
      <c r="E461" s="33"/>
      <c r="F461" s="34"/>
      <c r="G461" s="35"/>
      <c r="H461" s="34"/>
      <c r="I461" s="34"/>
      <c r="J461" s="34"/>
      <c r="K461" s="34"/>
      <c r="L461" s="31" t="str">
        <f aca="false">IFERROR(H461/F461*1000,"")</f>
        <v/>
      </c>
      <c r="M461" s="31" t="str">
        <f aca="false">IFERROR(I461/F461*1000,"")</f>
        <v/>
      </c>
      <c r="N461" s="32" t="str">
        <f aca="false">IF(G461="","",IF(G461&gt;=0.5,"PASS","FIX HOOK"))</f>
        <v/>
      </c>
    </row>
    <row r="462" customFormat="false" ht="15" hidden="false" customHeight="false" outlineLevel="0" collapsed="false">
      <c r="A462" s="33"/>
      <c r="B462" s="33"/>
      <c r="C462" s="33"/>
      <c r="D462" s="33"/>
      <c r="E462" s="33"/>
      <c r="F462" s="34"/>
      <c r="G462" s="35"/>
      <c r="H462" s="34"/>
      <c r="I462" s="34"/>
      <c r="J462" s="34"/>
      <c r="K462" s="34"/>
      <c r="L462" s="31" t="str">
        <f aca="false">IFERROR(H462/F462*1000,"")</f>
        <v/>
      </c>
      <c r="M462" s="31" t="str">
        <f aca="false">IFERROR(I462/F462*1000,"")</f>
        <v/>
      </c>
      <c r="N462" s="32" t="str">
        <f aca="false">IF(G462="","",IF(G462&gt;=0.5,"PASS","FIX HOOK"))</f>
        <v/>
      </c>
    </row>
    <row r="463" customFormat="false" ht="15" hidden="false" customHeight="false" outlineLevel="0" collapsed="false">
      <c r="A463" s="33"/>
      <c r="B463" s="33"/>
      <c r="C463" s="33"/>
      <c r="D463" s="33"/>
      <c r="E463" s="33"/>
      <c r="F463" s="34"/>
      <c r="G463" s="35"/>
      <c r="H463" s="34"/>
      <c r="I463" s="34"/>
      <c r="J463" s="34"/>
      <c r="K463" s="34"/>
      <c r="L463" s="31" t="str">
        <f aca="false">IFERROR(H463/F463*1000,"")</f>
        <v/>
      </c>
      <c r="M463" s="31" t="str">
        <f aca="false">IFERROR(I463/F463*1000,"")</f>
        <v/>
      </c>
      <c r="N463" s="32" t="str">
        <f aca="false">IF(G463="","",IF(G463&gt;=0.5,"PASS","FIX HOOK"))</f>
        <v/>
      </c>
    </row>
    <row r="464" customFormat="false" ht="15" hidden="false" customHeight="false" outlineLevel="0" collapsed="false">
      <c r="A464" s="33"/>
      <c r="B464" s="33"/>
      <c r="C464" s="33"/>
      <c r="D464" s="33"/>
      <c r="E464" s="33"/>
      <c r="F464" s="34"/>
      <c r="G464" s="35"/>
      <c r="H464" s="34"/>
      <c r="I464" s="34"/>
      <c r="J464" s="34"/>
      <c r="K464" s="34"/>
      <c r="L464" s="31" t="str">
        <f aca="false">IFERROR(H464/F464*1000,"")</f>
        <v/>
      </c>
      <c r="M464" s="31" t="str">
        <f aca="false">IFERROR(I464/F464*1000,"")</f>
        <v/>
      </c>
      <c r="N464" s="32" t="str">
        <f aca="false">IF(G464="","",IF(G464&gt;=0.5,"PASS","FIX HOOK"))</f>
        <v/>
      </c>
    </row>
    <row r="465" customFormat="false" ht="15" hidden="false" customHeight="false" outlineLevel="0" collapsed="false">
      <c r="A465" s="33"/>
      <c r="B465" s="33"/>
      <c r="C465" s="33"/>
      <c r="D465" s="33"/>
      <c r="E465" s="33"/>
      <c r="F465" s="34"/>
      <c r="G465" s="35"/>
      <c r="H465" s="34"/>
      <c r="I465" s="34"/>
      <c r="J465" s="34"/>
      <c r="K465" s="34"/>
      <c r="L465" s="31" t="str">
        <f aca="false">IFERROR(H465/F465*1000,"")</f>
        <v/>
      </c>
      <c r="M465" s="31" t="str">
        <f aca="false">IFERROR(I465/F465*1000,"")</f>
        <v/>
      </c>
      <c r="N465" s="32" t="str">
        <f aca="false">IF(G465="","",IF(G465&gt;=0.5,"PASS","FIX HOOK"))</f>
        <v/>
      </c>
    </row>
    <row r="466" customFormat="false" ht="15" hidden="false" customHeight="false" outlineLevel="0" collapsed="false">
      <c r="A466" s="33"/>
      <c r="B466" s="33"/>
      <c r="C466" s="33"/>
      <c r="D466" s="33"/>
      <c r="E466" s="33"/>
      <c r="F466" s="34"/>
      <c r="G466" s="35"/>
      <c r="H466" s="34"/>
      <c r="I466" s="34"/>
      <c r="J466" s="34"/>
      <c r="K466" s="34"/>
      <c r="L466" s="31" t="str">
        <f aca="false">IFERROR(H466/F466*1000,"")</f>
        <v/>
      </c>
      <c r="M466" s="31" t="str">
        <f aca="false">IFERROR(I466/F466*1000,"")</f>
        <v/>
      </c>
      <c r="N466" s="32" t="str">
        <f aca="false">IF(G466="","",IF(G466&gt;=0.5,"PASS","FIX HOOK"))</f>
        <v/>
      </c>
    </row>
    <row r="467" customFormat="false" ht="15" hidden="false" customHeight="false" outlineLevel="0" collapsed="false">
      <c r="A467" s="33"/>
      <c r="B467" s="33"/>
      <c r="C467" s="33"/>
      <c r="D467" s="33"/>
      <c r="E467" s="33"/>
      <c r="F467" s="34"/>
      <c r="G467" s="35"/>
      <c r="H467" s="34"/>
      <c r="I467" s="34"/>
      <c r="J467" s="34"/>
      <c r="K467" s="34"/>
      <c r="L467" s="31" t="str">
        <f aca="false">IFERROR(H467/F467*1000,"")</f>
        <v/>
      </c>
      <c r="M467" s="31" t="str">
        <f aca="false">IFERROR(I467/F467*1000,"")</f>
        <v/>
      </c>
      <c r="N467" s="32" t="str">
        <f aca="false">IF(G467="","",IF(G467&gt;=0.5,"PASS","FIX HOOK"))</f>
        <v/>
      </c>
    </row>
    <row r="468" customFormat="false" ht="15" hidden="false" customHeight="false" outlineLevel="0" collapsed="false">
      <c r="A468" s="33"/>
      <c r="B468" s="33"/>
      <c r="C468" s="33"/>
      <c r="D468" s="33"/>
      <c r="E468" s="33"/>
      <c r="F468" s="34"/>
      <c r="G468" s="35"/>
      <c r="H468" s="34"/>
      <c r="I468" s="34"/>
      <c r="J468" s="34"/>
      <c r="K468" s="34"/>
      <c r="L468" s="31" t="str">
        <f aca="false">IFERROR(H468/F468*1000,"")</f>
        <v/>
      </c>
      <c r="M468" s="31" t="str">
        <f aca="false">IFERROR(I468/F468*1000,"")</f>
        <v/>
      </c>
      <c r="N468" s="32" t="str">
        <f aca="false">IF(G468="","",IF(G468&gt;=0.5,"PASS","FIX HOOK"))</f>
        <v/>
      </c>
    </row>
    <row r="469" customFormat="false" ht="15" hidden="false" customHeight="false" outlineLevel="0" collapsed="false">
      <c r="A469" s="33"/>
      <c r="B469" s="33"/>
      <c r="C469" s="33"/>
      <c r="D469" s="33"/>
      <c r="E469" s="33"/>
      <c r="F469" s="34"/>
      <c r="G469" s="35"/>
      <c r="H469" s="34"/>
      <c r="I469" s="34"/>
      <c r="J469" s="34"/>
      <c r="K469" s="34"/>
      <c r="L469" s="31" t="str">
        <f aca="false">IFERROR(H469/F469*1000,"")</f>
        <v/>
      </c>
      <c r="M469" s="31" t="str">
        <f aca="false">IFERROR(I469/F469*1000,"")</f>
        <v/>
      </c>
      <c r="N469" s="32" t="str">
        <f aca="false">IF(G469="","",IF(G469&gt;=0.5,"PASS","FIX HOOK"))</f>
        <v/>
      </c>
    </row>
    <row r="470" customFormat="false" ht="15" hidden="false" customHeight="false" outlineLevel="0" collapsed="false">
      <c r="A470" s="33"/>
      <c r="B470" s="33"/>
      <c r="C470" s="33"/>
      <c r="D470" s="33"/>
      <c r="E470" s="33"/>
      <c r="F470" s="34"/>
      <c r="G470" s="35"/>
      <c r="H470" s="34"/>
      <c r="I470" s="34"/>
      <c r="J470" s="34"/>
      <c r="K470" s="34"/>
      <c r="L470" s="31" t="str">
        <f aca="false">IFERROR(H470/F470*1000,"")</f>
        <v/>
      </c>
      <c r="M470" s="31" t="str">
        <f aca="false">IFERROR(I470/F470*1000,"")</f>
        <v/>
      </c>
      <c r="N470" s="32" t="str">
        <f aca="false">IF(G470="","",IF(G470&gt;=0.5,"PASS","FIX HOOK"))</f>
        <v/>
      </c>
    </row>
    <row r="471" customFormat="false" ht="15" hidden="false" customHeight="false" outlineLevel="0" collapsed="false">
      <c r="A471" s="33"/>
      <c r="B471" s="33"/>
      <c r="C471" s="33"/>
      <c r="D471" s="33"/>
      <c r="E471" s="33"/>
      <c r="F471" s="34"/>
      <c r="G471" s="35"/>
      <c r="H471" s="34"/>
      <c r="I471" s="34"/>
      <c r="J471" s="34"/>
      <c r="K471" s="34"/>
      <c r="L471" s="31" t="str">
        <f aca="false">IFERROR(H471/F471*1000,"")</f>
        <v/>
      </c>
      <c r="M471" s="31" t="str">
        <f aca="false">IFERROR(I471/F471*1000,"")</f>
        <v/>
      </c>
      <c r="N471" s="32" t="str">
        <f aca="false">IF(G471="","",IF(G471&gt;=0.5,"PASS","FIX HOOK"))</f>
        <v/>
      </c>
    </row>
    <row r="472" customFormat="false" ht="15" hidden="false" customHeight="false" outlineLevel="0" collapsed="false">
      <c r="A472" s="33"/>
      <c r="B472" s="33"/>
      <c r="C472" s="33"/>
      <c r="D472" s="33"/>
      <c r="E472" s="33"/>
      <c r="F472" s="34"/>
      <c r="G472" s="35"/>
      <c r="H472" s="34"/>
      <c r="I472" s="34"/>
      <c r="J472" s="34"/>
      <c r="K472" s="34"/>
      <c r="L472" s="31" t="str">
        <f aca="false">IFERROR(H472/F472*1000,"")</f>
        <v/>
      </c>
      <c r="M472" s="31" t="str">
        <f aca="false">IFERROR(I472/F472*1000,"")</f>
        <v/>
      </c>
      <c r="N472" s="32" t="str">
        <f aca="false">IF(G472="","",IF(G472&gt;=0.5,"PASS","FIX HOOK"))</f>
        <v/>
      </c>
    </row>
    <row r="473" customFormat="false" ht="15" hidden="false" customHeight="false" outlineLevel="0" collapsed="false">
      <c r="A473" s="33"/>
      <c r="B473" s="33"/>
      <c r="C473" s="33"/>
      <c r="D473" s="33"/>
      <c r="E473" s="33"/>
      <c r="F473" s="34"/>
      <c r="G473" s="35"/>
      <c r="H473" s="34"/>
      <c r="I473" s="34"/>
      <c r="J473" s="34"/>
      <c r="K473" s="34"/>
      <c r="L473" s="31" t="str">
        <f aca="false">IFERROR(H473/F473*1000,"")</f>
        <v/>
      </c>
      <c r="M473" s="31" t="str">
        <f aca="false">IFERROR(I473/F473*1000,"")</f>
        <v/>
      </c>
      <c r="N473" s="32" t="str">
        <f aca="false">IF(G473="","",IF(G473&gt;=0.5,"PASS","FIX HOOK"))</f>
        <v/>
      </c>
    </row>
    <row r="474" customFormat="false" ht="15" hidden="false" customHeight="false" outlineLevel="0" collapsed="false">
      <c r="A474" s="33"/>
      <c r="B474" s="33"/>
      <c r="C474" s="33"/>
      <c r="D474" s="33"/>
      <c r="E474" s="33"/>
      <c r="F474" s="34"/>
      <c r="G474" s="35"/>
      <c r="H474" s="34"/>
      <c r="I474" s="34"/>
      <c r="J474" s="34"/>
      <c r="K474" s="34"/>
      <c r="L474" s="31" t="str">
        <f aca="false">IFERROR(H474/F474*1000,"")</f>
        <v/>
      </c>
      <c r="M474" s="31" t="str">
        <f aca="false">IFERROR(I474/F474*1000,"")</f>
        <v/>
      </c>
      <c r="N474" s="32" t="str">
        <f aca="false">IF(G474="","",IF(G474&gt;=0.5,"PASS","FIX HOOK"))</f>
        <v/>
      </c>
    </row>
    <row r="475" customFormat="false" ht="15" hidden="false" customHeight="false" outlineLevel="0" collapsed="false">
      <c r="A475" s="33"/>
      <c r="B475" s="33"/>
      <c r="C475" s="33"/>
      <c r="D475" s="33"/>
      <c r="E475" s="33"/>
      <c r="F475" s="34"/>
      <c r="G475" s="35"/>
      <c r="H475" s="34"/>
      <c r="I475" s="34"/>
      <c r="J475" s="34"/>
      <c r="K475" s="34"/>
      <c r="L475" s="31" t="str">
        <f aca="false">IFERROR(H475/F475*1000,"")</f>
        <v/>
      </c>
      <c r="M475" s="31" t="str">
        <f aca="false">IFERROR(I475/F475*1000,"")</f>
        <v/>
      </c>
      <c r="N475" s="32" t="str">
        <f aca="false">IF(G475="","",IF(G475&gt;=0.5,"PASS","FIX HOOK"))</f>
        <v/>
      </c>
    </row>
    <row r="476" customFormat="false" ht="15" hidden="false" customHeight="false" outlineLevel="0" collapsed="false">
      <c r="A476" s="33"/>
      <c r="B476" s="33"/>
      <c r="C476" s="33"/>
      <c r="D476" s="33"/>
      <c r="E476" s="33"/>
      <c r="F476" s="34"/>
      <c r="G476" s="35"/>
      <c r="H476" s="34"/>
      <c r="I476" s="34"/>
      <c r="J476" s="34"/>
      <c r="K476" s="34"/>
      <c r="L476" s="31" t="str">
        <f aca="false">IFERROR(H476/F476*1000,"")</f>
        <v/>
      </c>
      <c r="M476" s="31" t="str">
        <f aca="false">IFERROR(I476/F476*1000,"")</f>
        <v/>
      </c>
      <c r="N476" s="32" t="str">
        <f aca="false">IF(G476="","",IF(G476&gt;=0.5,"PASS","FIX HOOK"))</f>
        <v/>
      </c>
    </row>
    <row r="477" customFormat="false" ht="15" hidden="false" customHeight="false" outlineLevel="0" collapsed="false">
      <c r="A477" s="33"/>
      <c r="B477" s="33"/>
      <c r="C477" s="33"/>
      <c r="D477" s="33"/>
      <c r="E477" s="33"/>
      <c r="F477" s="34"/>
      <c r="G477" s="35"/>
      <c r="H477" s="34"/>
      <c r="I477" s="34"/>
      <c r="J477" s="34"/>
      <c r="K477" s="34"/>
      <c r="L477" s="31" t="str">
        <f aca="false">IFERROR(H477/F477*1000,"")</f>
        <v/>
      </c>
      <c r="M477" s="31" t="str">
        <f aca="false">IFERROR(I477/F477*1000,"")</f>
        <v/>
      </c>
      <c r="N477" s="32" t="str">
        <f aca="false">IF(G477="","",IF(G477&gt;=0.5,"PASS","FIX HOOK"))</f>
        <v/>
      </c>
    </row>
    <row r="478" customFormat="false" ht="15" hidden="false" customHeight="false" outlineLevel="0" collapsed="false">
      <c r="A478" s="33"/>
      <c r="B478" s="33"/>
      <c r="C478" s="33"/>
      <c r="D478" s="33"/>
      <c r="E478" s="33"/>
      <c r="F478" s="34"/>
      <c r="G478" s="35"/>
      <c r="H478" s="34"/>
      <c r="I478" s="34"/>
      <c r="J478" s="34"/>
      <c r="K478" s="34"/>
      <c r="L478" s="31" t="str">
        <f aca="false">IFERROR(H478/F478*1000,"")</f>
        <v/>
      </c>
      <c r="M478" s="31" t="str">
        <f aca="false">IFERROR(I478/F478*1000,"")</f>
        <v/>
      </c>
      <c r="N478" s="32" t="str">
        <f aca="false">IF(G478="","",IF(G478&gt;=0.5,"PASS","FIX HOOK"))</f>
        <v/>
      </c>
    </row>
    <row r="479" customFormat="false" ht="15" hidden="false" customHeight="false" outlineLevel="0" collapsed="false">
      <c r="A479" s="33"/>
      <c r="B479" s="33"/>
      <c r="C479" s="33"/>
      <c r="D479" s="33"/>
      <c r="E479" s="33"/>
      <c r="F479" s="34"/>
      <c r="G479" s="35"/>
      <c r="H479" s="34"/>
      <c r="I479" s="34"/>
      <c r="J479" s="34"/>
      <c r="K479" s="34"/>
      <c r="L479" s="31" t="str">
        <f aca="false">IFERROR(H479/F479*1000,"")</f>
        <v/>
      </c>
      <c r="M479" s="31" t="str">
        <f aca="false">IFERROR(I479/F479*1000,"")</f>
        <v/>
      </c>
      <c r="N479" s="32" t="str">
        <f aca="false">IF(G479="","",IF(G479&gt;=0.5,"PASS","FIX HOOK"))</f>
        <v/>
      </c>
    </row>
    <row r="480" customFormat="false" ht="15" hidden="false" customHeight="false" outlineLevel="0" collapsed="false">
      <c r="A480" s="33"/>
      <c r="B480" s="33"/>
      <c r="C480" s="33"/>
      <c r="D480" s="33"/>
      <c r="E480" s="33"/>
      <c r="F480" s="34"/>
      <c r="G480" s="35"/>
      <c r="H480" s="34"/>
      <c r="I480" s="34"/>
      <c r="J480" s="34"/>
      <c r="K480" s="34"/>
      <c r="L480" s="31" t="str">
        <f aca="false">IFERROR(H480/F480*1000,"")</f>
        <v/>
      </c>
      <c r="M480" s="31" t="str">
        <f aca="false">IFERROR(I480/F480*1000,"")</f>
        <v/>
      </c>
      <c r="N480" s="32" t="str">
        <f aca="false">IF(G480="","",IF(G480&gt;=0.5,"PASS","FIX HOOK"))</f>
        <v/>
      </c>
    </row>
    <row r="481" customFormat="false" ht="15" hidden="false" customHeight="false" outlineLevel="0" collapsed="false">
      <c r="A481" s="33"/>
      <c r="B481" s="33"/>
      <c r="C481" s="33"/>
      <c r="D481" s="33"/>
      <c r="E481" s="33"/>
      <c r="F481" s="34"/>
      <c r="G481" s="35"/>
      <c r="H481" s="34"/>
      <c r="I481" s="34"/>
      <c r="J481" s="34"/>
      <c r="K481" s="34"/>
      <c r="L481" s="31" t="str">
        <f aca="false">IFERROR(H481/F481*1000,"")</f>
        <v/>
      </c>
      <c r="M481" s="31" t="str">
        <f aca="false">IFERROR(I481/F481*1000,"")</f>
        <v/>
      </c>
      <c r="N481" s="32" t="str">
        <f aca="false">IF(G481="","",IF(G481&gt;=0.5,"PASS","FIX HOOK"))</f>
        <v/>
      </c>
    </row>
    <row r="482" customFormat="false" ht="15" hidden="false" customHeight="false" outlineLevel="0" collapsed="false">
      <c r="A482" s="33"/>
      <c r="B482" s="33"/>
      <c r="C482" s="33"/>
      <c r="D482" s="33"/>
      <c r="E482" s="33"/>
      <c r="F482" s="34"/>
      <c r="G482" s="35"/>
      <c r="H482" s="34"/>
      <c r="I482" s="34"/>
      <c r="J482" s="34"/>
      <c r="K482" s="34"/>
      <c r="L482" s="31" t="str">
        <f aca="false">IFERROR(H482/F482*1000,"")</f>
        <v/>
      </c>
      <c r="M482" s="31" t="str">
        <f aca="false">IFERROR(I482/F482*1000,"")</f>
        <v/>
      </c>
      <c r="N482" s="32" t="str">
        <f aca="false">IF(G482="","",IF(G482&gt;=0.5,"PASS","FIX HOOK"))</f>
        <v/>
      </c>
    </row>
    <row r="483" customFormat="false" ht="15" hidden="false" customHeight="false" outlineLevel="0" collapsed="false">
      <c r="A483" s="33"/>
      <c r="B483" s="33"/>
      <c r="C483" s="33"/>
      <c r="D483" s="33"/>
      <c r="E483" s="33"/>
      <c r="F483" s="34"/>
      <c r="G483" s="35"/>
      <c r="H483" s="34"/>
      <c r="I483" s="34"/>
      <c r="J483" s="34"/>
      <c r="K483" s="34"/>
      <c r="L483" s="31" t="str">
        <f aca="false">IFERROR(H483/F483*1000,"")</f>
        <v/>
      </c>
      <c r="M483" s="31" t="str">
        <f aca="false">IFERROR(I483/F483*1000,"")</f>
        <v/>
      </c>
      <c r="N483" s="32" t="str">
        <f aca="false">IF(G483="","",IF(G483&gt;=0.5,"PASS","FIX HOOK"))</f>
        <v/>
      </c>
    </row>
    <row r="484" customFormat="false" ht="15" hidden="false" customHeight="false" outlineLevel="0" collapsed="false">
      <c r="A484" s="33"/>
      <c r="B484" s="33"/>
      <c r="C484" s="33"/>
      <c r="D484" s="33"/>
      <c r="E484" s="33"/>
      <c r="F484" s="34"/>
      <c r="G484" s="35"/>
      <c r="H484" s="34"/>
      <c r="I484" s="34"/>
      <c r="J484" s="34"/>
      <c r="K484" s="34"/>
      <c r="L484" s="31" t="str">
        <f aca="false">IFERROR(H484/F484*1000,"")</f>
        <v/>
      </c>
      <c r="M484" s="31" t="str">
        <f aca="false">IFERROR(I484/F484*1000,"")</f>
        <v/>
      </c>
      <c r="N484" s="32" t="str">
        <f aca="false">IF(G484="","",IF(G484&gt;=0.5,"PASS","FIX HOOK"))</f>
        <v/>
      </c>
    </row>
    <row r="485" customFormat="false" ht="15" hidden="false" customHeight="false" outlineLevel="0" collapsed="false">
      <c r="A485" s="33"/>
      <c r="B485" s="33"/>
      <c r="C485" s="33"/>
      <c r="D485" s="33"/>
      <c r="E485" s="33"/>
      <c r="F485" s="34"/>
      <c r="G485" s="35"/>
      <c r="H485" s="34"/>
      <c r="I485" s="34"/>
      <c r="J485" s="34"/>
      <c r="K485" s="34"/>
      <c r="L485" s="31" t="str">
        <f aca="false">IFERROR(H485/F485*1000,"")</f>
        <v/>
      </c>
      <c r="M485" s="31" t="str">
        <f aca="false">IFERROR(I485/F485*1000,"")</f>
        <v/>
      </c>
      <c r="N485" s="32" t="str">
        <f aca="false">IF(G485="","",IF(G485&gt;=0.5,"PASS","FIX HOOK"))</f>
        <v/>
      </c>
    </row>
    <row r="486" customFormat="false" ht="15" hidden="false" customHeight="false" outlineLevel="0" collapsed="false">
      <c r="A486" s="33"/>
      <c r="B486" s="33"/>
      <c r="C486" s="33"/>
      <c r="D486" s="33"/>
      <c r="E486" s="33"/>
      <c r="F486" s="34"/>
      <c r="G486" s="35"/>
      <c r="H486" s="34"/>
      <c r="I486" s="34"/>
      <c r="J486" s="34"/>
      <c r="K486" s="34"/>
      <c r="L486" s="31" t="str">
        <f aca="false">IFERROR(H486/F486*1000,"")</f>
        <v/>
      </c>
      <c r="M486" s="31" t="str">
        <f aca="false">IFERROR(I486/F486*1000,"")</f>
        <v/>
      </c>
      <c r="N486" s="32" t="str">
        <f aca="false">IF(G486="","",IF(G486&gt;=0.5,"PASS","FIX HOOK"))</f>
        <v/>
      </c>
    </row>
    <row r="487" customFormat="false" ht="15" hidden="false" customHeight="false" outlineLevel="0" collapsed="false">
      <c r="A487" s="33"/>
      <c r="B487" s="33"/>
      <c r="C487" s="33"/>
      <c r="D487" s="33"/>
      <c r="E487" s="33"/>
      <c r="F487" s="34"/>
      <c r="G487" s="35"/>
      <c r="H487" s="34"/>
      <c r="I487" s="34"/>
      <c r="J487" s="34"/>
      <c r="K487" s="34"/>
      <c r="L487" s="31" t="str">
        <f aca="false">IFERROR(H487/F487*1000,"")</f>
        <v/>
      </c>
      <c r="M487" s="31" t="str">
        <f aca="false">IFERROR(I487/F487*1000,"")</f>
        <v/>
      </c>
      <c r="N487" s="32" t="str">
        <f aca="false">IF(G487="","",IF(G487&gt;=0.5,"PASS","FIX HOOK"))</f>
        <v/>
      </c>
    </row>
    <row r="488" customFormat="false" ht="15" hidden="false" customHeight="false" outlineLevel="0" collapsed="false">
      <c r="A488" s="33"/>
      <c r="B488" s="33"/>
      <c r="C488" s="33"/>
      <c r="D488" s="33"/>
      <c r="E488" s="33"/>
      <c r="F488" s="34"/>
      <c r="G488" s="35"/>
      <c r="H488" s="34"/>
      <c r="I488" s="34"/>
      <c r="J488" s="34"/>
      <c r="K488" s="34"/>
      <c r="L488" s="31" t="str">
        <f aca="false">IFERROR(H488/F488*1000,"")</f>
        <v/>
      </c>
      <c r="M488" s="31" t="str">
        <f aca="false">IFERROR(I488/F488*1000,"")</f>
        <v/>
      </c>
      <c r="N488" s="32" t="str">
        <f aca="false">IF(G488="","",IF(G488&gt;=0.5,"PASS","FIX HOOK"))</f>
        <v/>
      </c>
    </row>
    <row r="489" customFormat="false" ht="15" hidden="false" customHeight="false" outlineLevel="0" collapsed="false">
      <c r="A489" s="33"/>
      <c r="B489" s="33"/>
      <c r="C489" s="33"/>
      <c r="D489" s="33"/>
      <c r="E489" s="33"/>
      <c r="F489" s="34"/>
      <c r="G489" s="35"/>
      <c r="H489" s="34"/>
      <c r="I489" s="34"/>
      <c r="J489" s="34"/>
      <c r="K489" s="34"/>
      <c r="L489" s="31" t="str">
        <f aca="false">IFERROR(H489/F489*1000,"")</f>
        <v/>
      </c>
      <c r="M489" s="31" t="str">
        <f aca="false">IFERROR(I489/F489*1000,"")</f>
        <v/>
      </c>
      <c r="N489" s="32" t="str">
        <f aca="false">IF(G489="","",IF(G489&gt;=0.5,"PASS","FIX HOOK"))</f>
        <v/>
      </c>
    </row>
    <row r="490" customFormat="false" ht="15" hidden="false" customHeight="false" outlineLevel="0" collapsed="false">
      <c r="A490" s="33"/>
      <c r="B490" s="33"/>
      <c r="C490" s="33"/>
      <c r="D490" s="33"/>
      <c r="E490" s="33"/>
      <c r="F490" s="34"/>
      <c r="G490" s="35"/>
      <c r="H490" s="34"/>
      <c r="I490" s="34"/>
      <c r="J490" s="34"/>
      <c r="K490" s="34"/>
      <c r="L490" s="31" t="str">
        <f aca="false">IFERROR(H490/F490*1000,"")</f>
        <v/>
      </c>
      <c r="M490" s="31" t="str">
        <f aca="false">IFERROR(I490/F490*1000,"")</f>
        <v/>
      </c>
      <c r="N490" s="32" t="str">
        <f aca="false">IF(G490="","",IF(G490&gt;=0.5,"PASS","FIX HOOK"))</f>
        <v/>
      </c>
    </row>
    <row r="491" customFormat="false" ht="15" hidden="false" customHeight="false" outlineLevel="0" collapsed="false">
      <c r="A491" s="33"/>
      <c r="B491" s="33"/>
      <c r="C491" s="33"/>
      <c r="D491" s="33"/>
      <c r="E491" s="33"/>
      <c r="F491" s="34"/>
      <c r="G491" s="35"/>
      <c r="H491" s="34"/>
      <c r="I491" s="34"/>
      <c r="J491" s="34"/>
      <c r="K491" s="34"/>
      <c r="L491" s="31" t="str">
        <f aca="false">IFERROR(H491/F491*1000,"")</f>
        <v/>
      </c>
      <c r="M491" s="31" t="str">
        <f aca="false">IFERROR(I491/F491*1000,"")</f>
        <v/>
      </c>
      <c r="N491" s="32" t="str">
        <f aca="false">IF(G491="","",IF(G491&gt;=0.5,"PASS","FIX HOOK"))</f>
        <v/>
      </c>
    </row>
    <row r="492" customFormat="false" ht="15" hidden="false" customHeight="false" outlineLevel="0" collapsed="false">
      <c r="A492" s="33"/>
      <c r="B492" s="33"/>
      <c r="C492" s="33"/>
      <c r="D492" s="33"/>
      <c r="E492" s="33"/>
      <c r="F492" s="34"/>
      <c r="G492" s="35"/>
      <c r="H492" s="34"/>
      <c r="I492" s="34"/>
      <c r="J492" s="34"/>
      <c r="K492" s="34"/>
      <c r="L492" s="31" t="str">
        <f aca="false">IFERROR(H492/F492*1000,"")</f>
        <v/>
      </c>
      <c r="M492" s="31" t="str">
        <f aca="false">IFERROR(I492/F492*1000,"")</f>
        <v/>
      </c>
      <c r="N492" s="32" t="str">
        <f aca="false">IF(G492="","",IF(G492&gt;=0.5,"PASS","FIX HOOK"))</f>
        <v/>
      </c>
    </row>
    <row r="493" customFormat="false" ht="15" hidden="false" customHeight="false" outlineLevel="0" collapsed="false">
      <c r="A493" s="33"/>
      <c r="B493" s="33"/>
      <c r="C493" s="33"/>
      <c r="D493" s="33"/>
      <c r="E493" s="33"/>
      <c r="F493" s="34"/>
      <c r="G493" s="35"/>
      <c r="H493" s="34"/>
      <c r="I493" s="34"/>
      <c r="J493" s="34"/>
      <c r="K493" s="34"/>
      <c r="L493" s="31" t="str">
        <f aca="false">IFERROR(H493/F493*1000,"")</f>
        <v/>
      </c>
      <c r="M493" s="31" t="str">
        <f aca="false">IFERROR(I493/F493*1000,"")</f>
        <v/>
      </c>
      <c r="N493" s="32" t="str">
        <f aca="false">IF(G493="","",IF(G493&gt;=0.5,"PASS","FIX HOOK"))</f>
        <v/>
      </c>
    </row>
    <row r="494" customFormat="false" ht="15" hidden="false" customHeight="false" outlineLevel="0" collapsed="false">
      <c r="A494" s="33"/>
      <c r="B494" s="33"/>
      <c r="C494" s="33"/>
      <c r="D494" s="33"/>
      <c r="E494" s="33"/>
      <c r="F494" s="34"/>
      <c r="G494" s="35"/>
      <c r="H494" s="34"/>
      <c r="I494" s="34"/>
      <c r="J494" s="34"/>
      <c r="K494" s="34"/>
      <c r="L494" s="31" t="str">
        <f aca="false">IFERROR(H494/F494*1000,"")</f>
        <v/>
      </c>
      <c r="M494" s="31" t="str">
        <f aca="false">IFERROR(I494/F494*1000,"")</f>
        <v/>
      </c>
      <c r="N494" s="32" t="str">
        <f aca="false">IF(G494="","",IF(G494&gt;=0.5,"PASS","FIX HOOK"))</f>
        <v/>
      </c>
    </row>
    <row r="495" customFormat="false" ht="15" hidden="false" customHeight="false" outlineLevel="0" collapsed="false">
      <c r="A495" s="33"/>
      <c r="B495" s="33"/>
      <c r="C495" s="33"/>
      <c r="D495" s="33"/>
      <c r="E495" s="33"/>
      <c r="F495" s="34"/>
      <c r="G495" s="35"/>
      <c r="H495" s="34"/>
      <c r="I495" s="34"/>
      <c r="J495" s="34"/>
      <c r="K495" s="34"/>
      <c r="L495" s="31" t="str">
        <f aca="false">IFERROR(H495/F495*1000,"")</f>
        <v/>
      </c>
      <c r="M495" s="31" t="str">
        <f aca="false">IFERROR(I495/F495*1000,"")</f>
        <v/>
      </c>
      <c r="N495" s="32" t="str">
        <f aca="false">IF(G495="","",IF(G495&gt;=0.5,"PASS","FIX HOOK"))</f>
        <v/>
      </c>
    </row>
    <row r="496" customFormat="false" ht="15" hidden="false" customHeight="false" outlineLevel="0" collapsed="false">
      <c r="A496" s="33"/>
      <c r="B496" s="33"/>
      <c r="C496" s="33"/>
      <c r="D496" s="33"/>
      <c r="E496" s="33"/>
      <c r="F496" s="34"/>
      <c r="G496" s="35"/>
      <c r="H496" s="34"/>
      <c r="I496" s="34"/>
      <c r="J496" s="34"/>
      <c r="K496" s="34"/>
      <c r="L496" s="31" t="str">
        <f aca="false">IFERROR(H496/F496*1000,"")</f>
        <v/>
      </c>
      <c r="M496" s="31" t="str">
        <f aca="false">IFERROR(I496/F496*1000,"")</f>
        <v/>
      </c>
      <c r="N496" s="32" t="str">
        <f aca="false">IF(G496="","",IF(G496&gt;=0.5,"PASS","FIX HOOK"))</f>
        <v/>
      </c>
    </row>
    <row r="497" customFormat="false" ht="15" hidden="false" customHeight="false" outlineLevel="0" collapsed="false">
      <c r="A497" s="33"/>
      <c r="B497" s="33"/>
      <c r="C497" s="33"/>
      <c r="D497" s="33"/>
      <c r="E497" s="33"/>
      <c r="F497" s="34"/>
      <c r="G497" s="35"/>
      <c r="H497" s="34"/>
      <c r="I497" s="34"/>
      <c r="J497" s="34"/>
      <c r="K497" s="34"/>
      <c r="L497" s="31" t="str">
        <f aca="false">IFERROR(H497/F497*1000,"")</f>
        <v/>
      </c>
      <c r="M497" s="31" t="str">
        <f aca="false">IFERROR(I497/F497*1000,"")</f>
        <v/>
      </c>
      <c r="N497" s="32" t="str">
        <f aca="false">IF(G497="","",IF(G497&gt;=0.5,"PASS","FIX HOOK"))</f>
        <v/>
      </c>
    </row>
    <row r="498" customFormat="false" ht="15" hidden="false" customHeight="false" outlineLevel="0" collapsed="false">
      <c r="A498" s="33"/>
      <c r="B498" s="33"/>
      <c r="C498" s="33"/>
      <c r="D498" s="33"/>
      <c r="E498" s="33"/>
      <c r="F498" s="34"/>
      <c r="G498" s="35"/>
      <c r="H498" s="34"/>
      <c r="I498" s="34"/>
      <c r="J498" s="34"/>
      <c r="K498" s="34"/>
      <c r="L498" s="31" t="str">
        <f aca="false">IFERROR(H498/F498*1000,"")</f>
        <v/>
      </c>
      <c r="M498" s="31" t="str">
        <f aca="false">IFERROR(I498/F498*1000,"")</f>
        <v/>
      </c>
      <c r="N498" s="32" t="str">
        <f aca="false">IF(G498="","",IF(G498&gt;=0.5,"PASS","FIX HOOK"))</f>
        <v/>
      </c>
    </row>
    <row r="499" customFormat="false" ht="15" hidden="false" customHeight="false" outlineLevel="0" collapsed="false">
      <c r="A499" s="33"/>
      <c r="B499" s="33"/>
      <c r="C499" s="33"/>
      <c r="D499" s="33"/>
      <c r="E499" s="33"/>
      <c r="F499" s="34"/>
      <c r="G499" s="35"/>
      <c r="H499" s="34"/>
      <c r="I499" s="34"/>
      <c r="J499" s="34"/>
      <c r="K499" s="34"/>
      <c r="L499" s="31" t="str">
        <f aca="false">IFERROR(H499/F499*1000,"")</f>
        <v/>
      </c>
      <c r="M499" s="31" t="str">
        <f aca="false">IFERROR(I499/F499*1000,"")</f>
        <v/>
      </c>
      <c r="N499" s="32" t="str">
        <f aca="false">IF(G499="","",IF(G499&gt;=0.5,"PASS","FIX HOOK"))</f>
        <v/>
      </c>
    </row>
    <row r="500" customFormat="false" ht="15" hidden="false" customHeight="false" outlineLevel="0" collapsed="false">
      <c r="A500" s="33"/>
      <c r="B500" s="33"/>
      <c r="C500" s="33"/>
      <c r="D500" s="33"/>
      <c r="E500" s="33"/>
      <c r="F500" s="34"/>
      <c r="G500" s="35"/>
      <c r="H500" s="34"/>
      <c r="I500" s="34"/>
      <c r="J500" s="34"/>
      <c r="K500" s="34"/>
      <c r="L500" s="31" t="str">
        <f aca="false">IFERROR(H500/F500*1000,"")</f>
        <v/>
      </c>
      <c r="M500" s="31" t="str">
        <f aca="false">IFERROR(I500/F500*1000,"")</f>
        <v/>
      </c>
      <c r="N500" s="32" t="str">
        <f aca="false">IF(G500="","",IF(G500&gt;=0.5,"PASS","FIX HOOK"))</f>
        <v/>
      </c>
    </row>
  </sheetData>
  <dataValidations count="1">
    <dataValidation allowBlank="true" errorStyle="stop" operator="between" showDropDown="false" showErrorMessage="false" showInputMessage="false" sqref="B5:B500" type="list">
      <formula1>"01 The Depth Duel,02 Ground Scanner Reveal,03 You Pick the Spot,04 The Dig Reveal,05 Ring Recovery,06 The Hour Haul,07 Gold Hunt,08 ASMR Restoration,09 Read the Tone,10 Detectorist Reacts,11 Myth Test,12 Detector vs Detector"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7"/>
    <col collapsed="false" customWidth="true" hidden="false" outlineLevel="0" max="3" min="3" style="0" width="8"/>
    <col collapsed="false" customWidth="true" hidden="false" outlineLevel="0" max="4" min="4" style="0" width="12"/>
    <col collapsed="false" customWidth="true" hidden="false" outlineLevel="0" max="5" min="5" style="0" width="11"/>
    <col collapsed="false" customWidth="true" hidden="false" outlineLevel="0" max="6" min="6" style="0" width="13"/>
    <col collapsed="false" customWidth="true" hidden="false" outlineLevel="0" max="7" min="7" style="0" width="20"/>
  </cols>
  <sheetData>
    <row r="1" customFormat="false" ht="18.55" hidden="false" customHeight="false" outlineLevel="0" collapsed="false">
      <c r="A1" s="1" t="s">
        <v>196</v>
      </c>
    </row>
    <row r="2" customFormat="false" ht="15" hidden="false" customHeight="false" outlineLevel="0" collapsed="false">
      <c r="A2" s="2" t="s">
        <v>197</v>
      </c>
    </row>
    <row r="4" customFormat="false" ht="24" hidden="false" customHeight="true" outlineLevel="0" collapsed="false">
      <c r="A4" s="11" t="s">
        <v>39</v>
      </c>
      <c r="B4" s="11" t="s">
        <v>198</v>
      </c>
      <c r="C4" s="11" t="s">
        <v>199</v>
      </c>
      <c r="D4" s="11" t="s">
        <v>191</v>
      </c>
      <c r="E4" s="11" t="s">
        <v>192</v>
      </c>
      <c r="F4" s="11" t="s">
        <v>200</v>
      </c>
      <c r="G4" s="11" t="s">
        <v>201</v>
      </c>
    </row>
    <row r="5" customFormat="false" ht="15" hidden="false" customHeight="false" outlineLevel="0" collapsed="false">
      <c r="A5" s="23" t="s">
        <v>54</v>
      </c>
      <c r="B5" s="24" t="s">
        <v>202</v>
      </c>
      <c r="C5" s="32" t="n">
        <f aca="false">COUNTIF('Post Log'!$B$5:$B$500,$A5)</f>
        <v>0</v>
      </c>
      <c r="D5" s="31" t="str">
        <f aca="false">IFERROR(SUMIF('Post Log'!$B$5:$B$500,$A5,'Post Log'!$H$5:$H$500)/SUMIF('Post Log'!$B$5:$B$500,$A5,'Post Log'!$F$5:$F$500)*1000,"")</f>
        <v/>
      </c>
      <c r="E5" s="31" t="str">
        <f aca="false">IFERROR(SUMIF('Post Log'!$B$5:$B$500,$A5,'Post Log'!$I$5:$I$500)/SUMIF('Post Log'!$B$5:$B$500,$A5,'Post Log'!$F$5:$F$500)*1000,"")</f>
        <v/>
      </c>
      <c r="F5" s="36" t="n">
        <f aca="false">SUMIF('Post Log'!$B$5:$B$500,$A5,'Post Log'!$F$5:$F$500)</f>
        <v>0</v>
      </c>
      <c r="G5" s="32" t="str">
        <f aca="false">IF(C5&lt;5,"Collecting ("&amp;C5&amp;"/5)",IF(N($D$18)=0,"No data",IF(D5&gt;=$D$18*0.33,"KEEP","KILL — reallocate")))</f>
        <v>Collecting (0/5)</v>
      </c>
    </row>
    <row r="6" customFormat="false" ht="15" hidden="false" customHeight="false" outlineLevel="0" collapsed="false">
      <c r="A6" s="23" t="s">
        <v>86</v>
      </c>
      <c r="B6" s="24" t="s">
        <v>202</v>
      </c>
      <c r="C6" s="32" t="n">
        <f aca="false">COUNTIF('Post Log'!$B$5:$B$500,$A6)</f>
        <v>0</v>
      </c>
      <c r="D6" s="31" t="str">
        <f aca="false">IFERROR(SUMIF('Post Log'!$B$5:$B$500,$A6,'Post Log'!$H$5:$H$500)/SUMIF('Post Log'!$B$5:$B$500,$A6,'Post Log'!$F$5:$F$500)*1000,"")</f>
        <v/>
      </c>
      <c r="E6" s="31" t="str">
        <f aca="false">IFERROR(SUMIF('Post Log'!$B$5:$B$500,$A6,'Post Log'!$I$5:$I$500)/SUMIF('Post Log'!$B$5:$B$500,$A6,'Post Log'!$F$5:$F$500)*1000,"")</f>
        <v/>
      </c>
      <c r="F6" s="36" t="n">
        <f aca="false">SUMIF('Post Log'!$B$5:$B$500,$A6,'Post Log'!$F$5:$F$500)</f>
        <v>0</v>
      </c>
      <c r="G6" s="32" t="str">
        <f aca="false">IF(C6&lt;5,"Collecting ("&amp;C6&amp;"/5)",IF(N($D$18)=0,"No data",IF(D6&gt;=$D$18*0.33,"KEEP","KILL — reallocate")))</f>
        <v>Collecting (0/5)</v>
      </c>
    </row>
    <row r="7" customFormat="false" ht="15" hidden="false" customHeight="false" outlineLevel="0" collapsed="false">
      <c r="A7" s="23" t="s">
        <v>101</v>
      </c>
      <c r="B7" s="24" t="s">
        <v>202</v>
      </c>
      <c r="C7" s="32" t="n">
        <f aca="false">COUNTIF('Post Log'!$B$5:$B$500,$A7)</f>
        <v>0</v>
      </c>
      <c r="D7" s="31" t="str">
        <f aca="false">IFERROR(SUMIF('Post Log'!$B$5:$B$500,$A7,'Post Log'!$H$5:$H$500)/SUMIF('Post Log'!$B$5:$B$500,$A7,'Post Log'!$F$5:$F$500)*1000,"")</f>
        <v/>
      </c>
      <c r="E7" s="31" t="str">
        <f aca="false">IFERROR(SUMIF('Post Log'!$B$5:$B$500,$A7,'Post Log'!$I$5:$I$500)/SUMIF('Post Log'!$B$5:$B$500,$A7,'Post Log'!$F$5:$F$500)*1000,"")</f>
        <v/>
      </c>
      <c r="F7" s="36" t="n">
        <f aca="false">SUMIF('Post Log'!$B$5:$B$500,$A7,'Post Log'!$F$5:$F$500)</f>
        <v>0</v>
      </c>
      <c r="G7" s="32" t="str">
        <f aca="false">IF(C7&lt;5,"Collecting ("&amp;C7&amp;"/5)",IF(N($D$18)=0,"No data",IF(D7&gt;=$D$18*0.33,"KEEP","KILL — reallocate")))</f>
        <v>Collecting (0/5)</v>
      </c>
    </row>
    <row r="8" customFormat="false" ht="15" hidden="false" customHeight="false" outlineLevel="0" collapsed="false">
      <c r="A8" s="23" t="s">
        <v>45</v>
      </c>
      <c r="B8" s="24" t="s">
        <v>203</v>
      </c>
      <c r="C8" s="32" t="n">
        <f aca="false">COUNTIF('Post Log'!$B$5:$B$500,$A8)</f>
        <v>1</v>
      </c>
      <c r="D8" s="31" t="n">
        <f aca="false">IFERROR(SUMIF('Post Log'!$B$5:$B$500,$A8,'Post Log'!$H$5:$H$500)/SUMIF('Post Log'!$B$5:$B$500,$A8,'Post Log'!$F$5:$F$500)*1000,"")</f>
        <v>7.38095238095238</v>
      </c>
      <c r="E8" s="31" t="n">
        <f aca="false">IFERROR(SUMIF('Post Log'!$B$5:$B$500,$A8,'Post Log'!$I$5:$I$500)/SUMIF('Post Log'!$B$5:$B$500,$A8,'Post Log'!$F$5:$F$500)*1000,"")</f>
        <v>12.8571428571429</v>
      </c>
      <c r="F8" s="36" t="n">
        <f aca="false">SUMIF('Post Log'!$B$5:$B$500,$A8,'Post Log'!$F$5:$F$500)</f>
        <v>42000</v>
      </c>
      <c r="G8" s="32" t="str">
        <f aca="false">IF(C8&lt;5,"Collecting ("&amp;C8&amp;"/5)",IF(N($D$18)=0,"No data",IF(D8&gt;=$D$18*0.33,"KEEP","KILL — reallocate")))</f>
        <v>Collecting (1/5)</v>
      </c>
    </row>
    <row r="9" customFormat="false" ht="15" hidden="false" customHeight="false" outlineLevel="0" collapsed="false">
      <c r="A9" s="23" t="s">
        <v>136</v>
      </c>
      <c r="B9" s="24" t="s">
        <v>203</v>
      </c>
      <c r="C9" s="32" t="n">
        <f aca="false">COUNTIF('Post Log'!$B$5:$B$500,$A9)</f>
        <v>0</v>
      </c>
      <c r="D9" s="31" t="str">
        <f aca="false">IFERROR(SUMIF('Post Log'!$B$5:$B$500,$A9,'Post Log'!$H$5:$H$500)/SUMIF('Post Log'!$B$5:$B$500,$A9,'Post Log'!$F$5:$F$500)*1000,"")</f>
        <v/>
      </c>
      <c r="E9" s="31" t="str">
        <f aca="false">IFERROR(SUMIF('Post Log'!$B$5:$B$500,$A9,'Post Log'!$I$5:$I$500)/SUMIF('Post Log'!$B$5:$B$500,$A9,'Post Log'!$F$5:$F$500)*1000,"")</f>
        <v/>
      </c>
      <c r="F9" s="36" t="n">
        <f aca="false">SUMIF('Post Log'!$B$5:$B$500,$A9,'Post Log'!$F$5:$F$500)</f>
        <v>0</v>
      </c>
      <c r="G9" s="32" t="str">
        <f aca="false">IF(C9&lt;5,"Collecting ("&amp;C9&amp;"/5)",IF(N($D$18)=0,"No data",IF(D9&gt;=$D$18*0.33,"KEEP","KILL — reallocate")))</f>
        <v>Collecting (0/5)</v>
      </c>
    </row>
    <row r="10" customFormat="false" ht="15" hidden="false" customHeight="false" outlineLevel="0" collapsed="false">
      <c r="A10" s="23" t="s">
        <v>84</v>
      </c>
      <c r="B10" s="24" t="s">
        <v>203</v>
      </c>
      <c r="C10" s="32" t="n">
        <f aca="false">COUNTIF('Post Log'!$B$5:$B$500,$A10)</f>
        <v>0</v>
      </c>
      <c r="D10" s="31" t="str">
        <f aca="false">IFERROR(SUMIF('Post Log'!$B$5:$B$500,$A10,'Post Log'!$H$5:$H$500)/SUMIF('Post Log'!$B$5:$B$500,$A10,'Post Log'!$F$5:$F$500)*1000,"")</f>
        <v/>
      </c>
      <c r="E10" s="31" t="str">
        <f aca="false">IFERROR(SUMIF('Post Log'!$B$5:$B$500,$A10,'Post Log'!$I$5:$I$500)/SUMIF('Post Log'!$B$5:$B$500,$A10,'Post Log'!$F$5:$F$500)*1000,"")</f>
        <v/>
      </c>
      <c r="F10" s="36" t="n">
        <f aca="false">SUMIF('Post Log'!$B$5:$B$500,$A10,'Post Log'!$F$5:$F$500)</f>
        <v>0</v>
      </c>
      <c r="G10" s="32" t="str">
        <f aca="false">IF(C10&lt;5,"Collecting ("&amp;C10&amp;"/5)",IF(N($D$18)=0,"No data",IF(D10&gt;=$D$18*0.33,"KEEP","KILL — reallocate")))</f>
        <v>Collecting (0/5)</v>
      </c>
    </row>
    <row r="11" customFormat="false" ht="15" hidden="false" customHeight="false" outlineLevel="0" collapsed="false">
      <c r="A11" s="23" t="s">
        <v>119</v>
      </c>
      <c r="B11" s="24" t="s">
        <v>203</v>
      </c>
      <c r="C11" s="32" t="n">
        <f aca="false">COUNTIF('Post Log'!$B$5:$B$500,$A11)</f>
        <v>0</v>
      </c>
      <c r="D11" s="31" t="str">
        <f aca="false">IFERROR(SUMIF('Post Log'!$B$5:$B$500,$A11,'Post Log'!$H$5:$H$500)/SUMIF('Post Log'!$B$5:$B$500,$A11,'Post Log'!$F$5:$F$500)*1000,"")</f>
        <v/>
      </c>
      <c r="E11" s="31" t="str">
        <f aca="false">IFERROR(SUMIF('Post Log'!$B$5:$B$500,$A11,'Post Log'!$I$5:$I$500)/SUMIF('Post Log'!$B$5:$B$500,$A11,'Post Log'!$F$5:$F$500)*1000,"")</f>
        <v/>
      </c>
      <c r="F11" s="36" t="n">
        <f aca="false">SUMIF('Post Log'!$B$5:$B$500,$A11,'Post Log'!$F$5:$F$500)</f>
        <v>0</v>
      </c>
      <c r="G11" s="32" t="str">
        <f aca="false">IF(C11&lt;5,"Collecting ("&amp;C11&amp;"/5)",IF(N($D$18)=0,"No data",IF(D11&gt;=$D$18*0.33,"KEEP","KILL — reallocate")))</f>
        <v>Collecting (0/5)</v>
      </c>
    </row>
    <row r="12" customFormat="false" ht="15" hidden="false" customHeight="false" outlineLevel="0" collapsed="false">
      <c r="A12" s="23" t="s">
        <v>57</v>
      </c>
      <c r="B12" s="24" t="s">
        <v>204</v>
      </c>
      <c r="C12" s="32" t="n">
        <f aca="false">COUNTIF('Post Log'!$B$5:$B$500,$A12)</f>
        <v>0</v>
      </c>
      <c r="D12" s="31" t="str">
        <f aca="false">IFERROR(SUMIF('Post Log'!$B$5:$B$500,$A12,'Post Log'!$H$5:$H$500)/SUMIF('Post Log'!$B$5:$B$500,$A12,'Post Log'!$F$5:$F$500)*1000,"")</f>
        <v/>
      </c>
      <c r="E12" s="31" t="str">
        <f aca="false">IFERROR(SUMIF('Post Log'!$B$5:$B$500,$A12,'Post Log'!$I$5:$I$500)/SUMIF('Post Log'!$B$5:$B$500,$A12,'Post Log'!$F$5:$F$500)*1000,"")</f>
        <v/>
      </c>
      <c r="F12" s="36" t="n">
        <f aca="false">SUMIF('Post Log'!$B$5:$B$500,$A12,'Post Log'!$F$5:$F$500)</f>
        <v>0</v>
      </c>
      <c r="G12" s="32" t="str">
        <f aca="false">IF(C12&lt;5,"Collecting ("&amp;C12&amp;"/5)",IF(N($D$18)=0,"No data",IF(D12&gt;=$D$18*0.33,"KEEP","KILL — reallocate")))</f>
        <v>Collecting (0/5)</v>
      </c>
    </row>
    <row r="13" customFormat="false" ht="15" hidden="false" customHeight="false" outlineLevel="0" collapsed="false">
      <c r="A13" s="23" t="s">
        <v>61</v>
      </c>
      <c r="B13" s="24" t="s">
        <v>204</v>
      </c>
      <c r="C13" s="32" t="n">
        <f aca="false">COUNTIF('Post Log'!$B$5:$B$500,$A13)</f>
        <v>0</v>
      </c>
      <c r="D13" s="31" t="str">
        <f aca="false">IFERROR(SUMIF('Post Log'!$B$5:$B$500,$A13,'Post Log'!$H$5:$H$500)/SUMIF('Post Log'!$B$5:$B$500,$A13,'Post Log'!$F$5:$F$500)*1000,"")</f>
        <v/>
      </c>
      <c r="E13" s="31" t="str">
        <f aca="false">IFERROR(SUMIF('Post Log'!$B$5:$B$500,$A13,'Post Log'!$I$5:$I$500)/SUMIF('Post Log'!$B$5:$B$500,$A13,'Post Log'!$F$5:$F$500)*1000,"")</f>
        <v/>
      </c>
      <c r="F13" s="36" t="n">
        <f aca="false">SUMIF('Post Log'!$B$5:$B$500,$A13,'Post Log'!$F$5:$F$500)</f>
        <v>0</v>
      </c>
      <c r="G13" s="32" t="str">
        <f aca="false">IF(C13&lt;5,"Collecting ("&amp;C13&amp;"/5)",IF(N($D$18)=0,"No data",IF(D13&gt;=$D$18*0.33,"KEEP","KILL — reallocate")))</f>
        <v>Collecting (0/5)</v>
      </c>
    </row>
    <row r="14" customFormat="false" ht="15" hidden="false" customHeight="false" outlineLevel="0" collapsed="false">
      <c r="A14" s="23" t="s">
        <v>49</v>
      </c>
      <c r="B14" s="24" t="s">
        <v>205</v>
      </c>
      <c r="C14" s="32" t="n">
        <f aca="false">COUNTIF('Post Log'!$B$5:$B$500,$A14)</f>
        <v>0</v>
      </c>
      <c r="D14" s="31" t="str">
        <f aca="false">IFERROR(SUMIF('Post Log'!$B$5:$B$500,$A14,'Post Log'!$H$5:$H$500)/SUMIF('Post Log'!$B$5:$B$500,$A14,'Post Log'!$F$5:$F$500)*1000,"")</f>
        <v/>
      </c>
      <c r="E14" s="31" t="str">
        <f aca="false">IFERROR(SUMIF('Post Log'!$B$5:$B$500,$A14,'Post Log'!$I$5:$I$500)/SUMIF('Post Log'!$B$5:$B$500,$A14,'Post Log'!$F$5:$F$500)*1000,"")</f>
        <v/>
      </c>
      <c r="F14" s="36" t="n">
        <f aca="false">SUMIF('Post Log'!$B$5:$B$500,$A14,'Post Log'!$F$5:$F$500)</f>
        <v>0</v>
      </c>
      <c r="G14" s="32" t="str">
        <f aca="false">IF(C14&lt;5,"Collecting ("&amp;C14&amp;"/5)",IF(N($D$18)=0,"No data",IF(D14&gt;=$D$18*0.33,"KEEP","KILL — reallocate")))</f>
        <v>Collecting (0/5)</v>
      </c>
    </row>
    <row r="15" customFormat="false" ht="15" hidden="false" customHeight="false" outlineLevel="0" collapsed="false">
      <c r="A15" s="23" t="s">
        <v>96</v>
      </c>
      <c r="B15" s="24" t="s">
        <v>205</v>
      </c>
      <c r="C15" s="32" t="n">
        <f aca="false">COUNTIF('Post Log'!$B$5:$B$500,$A15)</f>
        <v>0</v>
      </c>
      <c r="D15" s="31" t="str">
        <f aca="false">IFERROR(SUMIF('Post Log'!$B$5:$B$500,$A15,'Post Log'!$H$5:$H$500)/SUMIF('Post Log'!$B$5:$B$500,$A15,'Post Log'!$F$5:$F$500)*1000,"")</f>
        <v/>
      </c>
      <c r="E15" s="31" t="str">
        <f aca="false">IFERROR(SUMIF('Post Log'!$B$5:$B$500,$A15,'Post Log'!$I$5:$I$500)/SUMIF('Post Log'!$B$5:$B$500,$A15,'Post Log'!$F$5:$F$500)*1000,"")</f>
        <v/>
      </c>
      <c r="F15" s="36" t="n">
        <f aca="false">SUMIF('Post Log'!$B$5:$B$500,$A15,'Post Log'!$F$5:$F$500)</f>
        <v>0</v>
      </c>
      <c r="G15" s="32" t="str">
        <f aca="false">IF(C15&lt;5,"Collecting ("&amp;C15&amp;"/5)",IF(N($D$18)=0,"No data",IF(D15&gt;=$D$18*0.33,"KEEP","KILL — reallocate")))</f>
        <v>Collecting (0/5)</v>
      </c>
    </row>
    <row r="16" customFormat="false" ht="15" hidden="false" customHeight="false" outlineLevel="0" collapsed="false">
      <c r="A16" s="23" t="s">
        <v>92</v>
      </c>
      <c r="B16" s="24" t="s">
        <v>205</v>
      </c>
      <c r="C16" s="32" t="n">
        <f aca="false">COUNTIF('Post Log'!$B$5:$B$500,$A16)</f>
        <v>0</v>
      </c>
      <c r="D16" s="31" t="str">
        <f aca="false">IFERROR(SUMIF('Post Log'!$B$5:$B$500,$A16,'Post Log'!$H$5:$H$500)/SUMIF('Post Log'!$B$5:$B$500,$A16,'Post Log'!$F$5:$F$500)*1000,"")</f>
        <v/>
      </c>
      <c r="E16" s="31" t="str">
        <f aca="false">IFERROR(SUMIF('Post Log'!$B$5:$B$500,$A16,'Post Log'!$I$5:$I$500)/SUMIF('Post Log'!$B$5:$B$500,$A16,'Post Log'!$F$5:$F$500)*1000,"")</f>
        <v/>
      </c>
      <c r="F16" s="36" t="n">
        <f aca="false">SUMIF('Post Log'!$B$5:$B$500,$A16,'Post Log'!$F$5:$F$500)</f>
        <v>0</v>
      </c>
      <c r="G16" s="32" t="str">
        <f aca="false">IF(C16&lt;5,"Collecting ("&amp;C16&amp;"/5)",IF(N($D$18)=0,"No data",IF(D16&gt;=$D$18*0.33,"KEEP","KILL — reallocate")))</f>
        <v>Collecting (0/5)</v>
      </c>
    </row>
    <row r="18" customFormat="false" ht="15" hidden="false" customHeight="false" outlineLevel="0" collapsed="false">
      <c r="A18" s="6" t="s">
        <v>206</v>
      </c>
      <c r="D18" s="37" t="n">
        <f aca="false">IFERROR(MAX(D5:D16),0)</f>
        <v>7.38095238095238</v>
      </c>
      <c r="E18" s="2" t="s">
        <v>207</v>
      </c>
    </row>
    <row r="20" customFormat="false" ht="15" hidden="false" customHeight="false" outlineLevel="0" collapsed="false">
      <c r="A20" s="6" t="s">
        <v>208</v>
      </c>
    </row>
    <row r="21" customFormat="false" ht="15" hidden="false" customHeight="false" outlineLevel="0" collapsed="false">
      <c r="A21" s="3" t="s">
        <v>209</v>
      </c>
      <c r="B21" s="3" t="s">
        <v>210</v>
      </c>
    </row>
    <row r="22" customFormat="false" ht="15" hidden="false" customHeight="false" outlineLevel="0" collapsed="false">
      <c r="A22" s="3" t="s">
        <v>211</v>
      </c>
      <c r="B22" s="3" t="s">
        <v>212</v>
      </c>
    </row>
    <row r="23" customFormat="false" ht="15" hidden="false" customHeight="false" outlineLevel="0" collapsed="false">
      <c r="A23" s="3" t="s">
        <v>213</v>
      </c>
      <c r="B23" s="3" t="s">
        <v>214</v>
      </c>
    </row>
    <row r="24" customFormat="false" ht="15" hidden="false" customHeight="false" outlineLevel="0" collapsed="false">
      <c r="A24" s="3" t="s">
        <v>215</v>
      </c>
      <c r="B24" s="3" t="s">
        <v>216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18"/>
    <col collapsed="false" customWidth="true" hidden="false" outlineLevel="0" max="3" min="3" style="0" width="11"/>
    <col collapsed="false" customWidth="true" hidden="false" outlineLevel="0" max="4" min="4" style="0" width="24"/>
    <col collapsed="false" customWidth="true" hidden="false" outlineLevel="0" max="5" min="5" style="0" width="11"/>
    <col collapsed="false" customWidth="true" hidden="false" outlineLevel="0" max="7" min="6" style="0" width="13"/>
    <col collapsed="false" customWidth="true" hidden="false" outlineLevel="0" max="8" min="8" style="0" width="14"/>
    <col collapsed="false" customWidth="true" hidden="false" outlineLevel="0" max="9" min="9" style="0" width="13"/>
    <col collapsed="false" customWidth="true" hidden="false" outlineLevel="0" max="10" min="10" style="0" width="10"/>
    <col collapsed="false" customWidth="true" hidden="false" outlineLevel="0" max="11" min="11" style="0" width="13"/>
    <col collapsed="false" customWidth="true" hidden="false" outlineLevel="0" max="12" min="12" style="0" width="20"/>
  </cols>
  <sheetData>
    <row r="1" customFormat="false" ht="18.55" hidden="false" customHeight="false" outlineLevel="0" collapsed="false">
      <c r="A1" s="1" t="s">
        <v>217</v>
      </c>
    </row>
    <row r="2" customFormat="false" ht="15" hidden="false" customHeight="false" outlineLevel="0" collapsed="false">
      <c r="A2" s="2" t="s">
        <v>218</v>
      </c>
    </row>
    <row r="4" customFormat="false" ht="27.75" hidden="false" customHeight="true" outlineLevel="0" collapsed="false">
      <c r="A4" s="11" t="s">
        <v>219</v>
      </c>
      <c r="B4" s="11" t="s">
        <v>220</v>
      </c>
      <c r="C4" s="11" t="s">
        <v>221</v>
      </c>
      <c r="D4" s="11" t="s">
        <v>222</v>
      </c>
      <c r="E4" s="11" t="s">
        <v>223</v>
      </c>
      <c r="F4" s="11" t="s">
        <v>224</v>
      </c>
      <c r="G4" s="11" t="s">
        <v>225</v>
      </c>
      <c r="H4" s="11" t="s">
        <v>226</v>
      </c>
      <c r="I4" s="11" t="s">
        <v>227</v>
      </c>
      <c r="J4" s="11" t="s">
        <v>228</v>
      </c>
      <c r="K4" s="11" t="s">
        <v>229</v>
      </c>
      <c r="L4" s="11" t="s">
        <v>201</v>
      </c>
    </row>
    <row r="5" customFormat="false" ht="15" hidden="false" customHeight="false" outlineLevel="0" collapsed="false">
      <c r="A5" s="28" t="s">
        <v>230</v>
      </c>
      <c r="B5" s="28" t="s">
        <v>231</v>
      </c>
      <c r="C5" s="29" t="n">
        <v>24000</v>
      </c>
      <c r="D5" s="28" t="s">
        <v>232</v>
      </c>
      <c r="E5" s="28" t="s">
        <v>233</v>
      </c>
      <c r="F5" s="28" t="s">
        <v>234</v>
      </c>
      <c r="G5" s="28" t="s">
        <v>235</v>
      </c>
      <c r="H5" s="29" t="n">
        <v>180000</v>
      </c>
      <c r="I5" s="29" t="n">
        <v>940</v>
      </c>
      <c r="J5" s="28" t="n">
        <v>6</v>
      </c>
      <c r="K5" s="28" t="s">
        <v>235</v>
      </c>
      <c r="L5" s="32" t="str">
        <f aca="false">IF(A5="","",IF(G5&lt;&gt;"Yes","Awaiting collab post",IF(K5&lt;&gt;"Yes","FIX DISCLOSURE",IF(N(I5)&gt;=250,"Convert to gift","Keep on loan"))))</f>
        <v>Convert to gift</v>
      </c>
    </row>
    <row r="6" customFormat="false" ht="15" hidden="false" customHeight="false" outlineLevel="0" collapsed="false">
      <c r="A6" s="33"/>
      <c r="B6" s="33"/>
      <c r="C6" s="34"/>
      <c r="D6" s="33"/>
      <c r="E6" s="33"/>
      <c r="F6" s="33"/>
      <c r="G6" s="33"/>
      <c r="H6" s="34"/>
      <c r="I6" s="34"/>
      <c r="J6" s="33"/>
      <c r="K6" s="33"/>
      <c r="L6" s="32" t="str">
        <f aca="false">IF(A6="","",IF(G6&lt;&gt;"Yes","Awaiting collab post",IF(K6&lt;&gt;"Yes","FIX DISCLOSURE",IF(N(I6)&gt;=250,"Convert to gift","Keep on loan"))))</f>
        <v/>
      </c>
    </row>
    <row r="7" customFormat="false" ht="15" hidden="false" customHeight="false" outlineLevel="0" collapsed="false">
      <c r="A7" s="33"/>
      <c r="B7" s="33"/>
      <c r="C7" s="34"/>
      <c r="D7" s="33"/>
      <c r="E7" s="33"/>
      <c r="F7" s="33"/>
      <c r="G7" s="33"/>
      <c r="H7" s="34"/>
      <c r="I7" s="34"/>
      <c r="J7" s="33"/>
      <c r="K7" s="33"/>
      <c r="L7" s="32" t="str">
        <f aca="false">IF(A7="","",IF(G7&lt;&gt;"Yes","Awaiting collab post",IF(K7&lt;&gt;"Yes","FIX DISCLOSURE",IF(N(I7)&gt;=250,"Convert to gift","Keep on loan"))))</f>
        <v/>
      </c>
    </row>
    <row r="8" customFormat="false" ht="15" hidden="false" customHeight="false" outlineLevel="0" collapsed="false">
      <c r="A8" s="33"/>
      <c r="B8" s="33"/>
      <c r="C8" s="34"/>
      <c r="D8" s="33"/>
      <c r="E8" s="33"/>
      <c r="F8" s="33"/>
      <c r="G8" s="33"/>
      <c r="H8" s="34"/>
      <c r="I8" s="34"/>
      <c r="J8" s="33"/>
      <c r="K8" s="33"/>
      <c r="L8" s="32" t="str">
        <f aca="false">IF(A8="","",IF(G8&lt;&gt;"Yes","Awaiting collab post",IF(K8&lt;&gt;"Yes","FIX DISCLOSURE",IF(N(I8)&gt;=250,"Convert to gift","Keep on loan"))))</f>
        <v/>
      </c>
    </row>
    <row r="9" customFormat="false" ht="15" hidden="false" customHeight="false" outlineLevel="0" collapsed="false">
      <c r="A9" s="33"/>
      <c r="B9" s="33"/>
      <c r="C9" s="34"/>
      <c r="D9" s="33"/>
      <c r="E9" s="33"/>
      <c r="F9" s="33"/>
      <c r="G9" s="33"/>
      <c r="H9" s="34"/>
      <c r="I9" s="34"/>
      <c r="J9" s="33"/>
      <c r="K9" s="33"/>
      <c r="L9" s="32" t="str">
        <f aca="false">IF(A9="","",IF(G9&lt;&gt;"Yes","Awaiting collab post",IF(K9&lt;&gt;"Yes","FIX DISCLOSURE",IF(N(I9)&gt;=250,"Convert to gift","Keep on loan"))))</f>
        <v/>
      </c>
    </row>
    <row r="10" customFormat="false" ht="15" hidden="false" customHeight="false" outlineLevel="0" collapsed="false">
      <c r="A10" s="33"/>
      <c r="B10" s="33"/>
      <c r="C10" s="34"/>
      <c r="D10" s="33"/>
      <c r="E10" s="33"/>
      <c r="F10" s="33"/>
      <c r="G10" s="33"/>
      <c r="H10" s="34"/>
      <c r="I10" s="34"/>
      <c r="J10" s="33"/>
      <c r="K10" s="33"/>
      <c r="L10" s="32" t="str">
        <f aca="false">IF(A10="","",IF(G10&lt;&gt;"Yes","Awaiting collab post",IF(K10&lt;&gt;"Yes","FIX DISCLOSURE",IF(N(I10)&gt;=250,"Convert to gift","Keep on loan"))))</f>
        <v/>
      </c>
    </row>
    <row r="11" customFormat="false" ht="15" hidden="false" customHeight="false" outlineLevel="0" collapsed="false">
      <c r="A11" s="33"/>
      <c r="B11" s="33"/>
      <c r="C11" s="34"/>
      <c r="D11" s="33"/>
      <c r="E11" s="33"/>
      <c r="F11" s="33"/>
      <c r="G11" s="33"/>
      <c r="H11" s="34"/>
      <c r="I11" s="34"/>
      <c r="J11" s="33"/>
      <c r="K11" s="33"/>
      <c r="L11" s="32" t="str">
        <f aca="false">IF(A11="","",IF(G11&lt;&gt;"Yes","Awaiting collab post",IF(K11&lt;&gt;"Yes","FIX DISCLOSURE",IF(N(I11)&gt;=250,"Convert to gift","Keep on loan"))))</f>
        <v/>
      </c>
    </row>
    <row r="12" customFormat="false" ht="15" hidden="false" customHeight="false" outlineLevel="0" collapsed="false">
      <c r="A12" s="33"/>
      <c r="B12" s="33"/>
      <c r="C12" s="34"/>
      <c r="D12" s="33"/>
      <c r="E12" s="33"/>
      <c r="F12" s="33"/>
      <c r="G12" s="33"/>
      <c r="H12" s="34"/>
      <c r="I12" s="34"/>
      <c r="J12" s="33"/>
      <c r="K12" s="33"/>
      <c r="L12" s="32" t="str">
        <f aca="false">IF(A12="","",IF(G12&lt;&gt;"Yes","Awaiting collab post",IF(K12&lt;&gt;"Yes","FIX DISCLOSURE",IF(N(I12)&gt;=250,"Convert to gift","Keep on loan"))))</f>
        <v/>
      </c>
    </row>
    <row r="13" customFormat="false" ht="15" hidden="false" customHeight="false" outlineLevel="0" collapsed="false">
      <c r="A13" s="33"/>
      <c r="B13" s="33"/>
      <c r="C13" s="34"/>
      <c r="D13" s="33"/>
      <c r="E13" s="33"/>
      <c r="F13" s="33"/>
      <c r="G13" s="33"/>
      <c r="H13" s="34"/>
      <c r="I13" s="34"/>
      <c r="J13" s="33"/>
      <c r="K13" s="33"/>
      <c r="L13" s="32" t="str">
        <f aca="false">IF(A13="","",IF(G13&lt;&gt;"Yes","Awaiting collab post",IF(K13&lt;&gt;"Yes","FIX DISCLOSURE",IF(N(I13)&gt;=250,"Convert to gift","Keep on loan"))))</f>
        <v/>
      </c>
    </row>
    <row r="14" customFormat="false" ht="15" hidden="false" customHeight="false" outlineLevel="0" collapsed="false">
      <c r="A14" s="33"/>
      <c r="B14" s="33"/>
      <c r="C14" s="34"/>
      <c r="D14" s="33"/>
      <c r="E14" s="33"/>
      <c r="F14" s="33"/>
      <c r="G14" s="33"/>
      <c r="H14" s="34"/>
      <c r="I14" s="34"/>
      <c r="J14" s="33"/>
      <c r="K14" s="33"/>
      <c r="L14" s="32" t="str">
        <f aca="false">IF(A14="","",IF(G14&lt;&gt;"Yes","Awaiting collab post",IF(K14&lt;&gt;"Yes","FIX DISCLOSURE",IF(N(I14)&gt;=250,"Convert to gift","Keep on loan"))))</f>
        <v/>
      </c>
    </row>
    <row r="15" customFormat="false" ht="15" hidden="false" customHeight="false" outlineLevel="0" collapsed="false">
      <c r="A15" s="33"/>
      <c r="B15" s="33"/>
      <c r="C15" s="34"/>
      <c r="D15" s="33"/>
      <c r="E15" s="33"/>
      <c r="F15" s="33"/>
      <c r="G15" s="33"/>
      <c r="H15" s="34"/>
      <c r="I15" s="34"/>
      <c r="J15" s="33"/>
      <c r="K15" s="33"/>
      <c r="L15" s="32" t="str">
        <f aca="false">IF(A15="","",IF(G15&lt;&gt;"Yes","Awaiting collab post",IF(K15&lt;&gt;"Yes","FIX DISCLOSURE",IF(N(I15)&gt;=250,"Convert to gift","Keep on loan"))))</f>
        <v/>
      </c>
    </row>
    <row r="16" customFormat="false" ht="15" hidden="false" customHeight="false" outlineLevel="0" collapsed="false">
      <c r="A16" s="33"/>
      <c r="B16" s="33"/>
      <c r="C16" s="34"/>
      <c r="D16" s="33"/>
      <c r="E16" s="33"/>
      <c r="F16" s="33"/>
      <c r="G16" s="33"/>
      <c r="H16" s="34"/>
      <c r="I16" s="34"/>
      <c r="J16" s="33"/>
      <c r="K16" s="33"/>
      <c r="L16" s="32" t="str">
        <f aca="false">IF(A16="","",IF(G16&lt;&gt;"Yes","Awaiting collab post",IF(K16&lt;&gt;"Yes","FIX DISCLOSURE",IF(N(I16)&gt;=250,"Convert to gift","Keep on loan"))))</f>
        <v/>
      </c>
    </row>
    <row r="17" customFormat="false" ht="15" hidden="false" customHeight="false" outlineLevel="0" collapsed="false">
      <c r="A17" s="33"/>
      <c r="B17" s="33"/>
      <c r="C17" s="34"/>
      <c r="D17" s="33"/>
      <c r="E17" s="33"/>
      <c r="F17" s="33"/>
      <c r="G17" s="33"/>
      <c r="H17" s="34"/>
      <c r="I17" s="34"/>
      <c r="J17" s="33"/>
      <c r="K17" s="33"/>
      <c r="L17" s="32" t="str">
        <f aca="false">IF(A17="","",IF(G17&lt;&gt;"Yes","Awaiting collab post",IF(K17&lt;&gt;"Yes","FIX DISCLOSURE",IF(N(I17)&gt;=250,"Convert to gift","Keep on loan"))))</f>
        <v/>
      </c>
    </row>
    <row r="18" customFormat="false" ht="15" hidden="false" customHeight="false" outlineLevel="0" collapsed="false">
      <c r="A18" s="33"/>
      <c r="B18" s="33"/>
      <c r="C18" s="34"/>
      <c r="D18" s="33"/>
      <c r="E18" s="33"/>
      <c r="F18" s="33"/>
      <c r="G18" s="33"/>
      <c r="H18" s="34"/>
      <c r="I18" s="34"/>
      <c r="J18" s="33"/>
      <c r="K18" s="33"/>
      <c r="L18" s="32" t="str">
        <f aca="false">IF(A18="","",IF(G18&lt;&gt;"Yes","Awaiting collab post",IF(K18&lt;&gt;"Yes","FIX DISCLOSURE",IF(N(I18)&gt;=250,"Convert to gift","Keep on loan"))))</f>
        <v/>
      </c>
    </row>
    <row r="19" customFormat="false" ht="15" hidden="false" customHeight="false" outlineLevel="0" collapsed="false">
      <c r="A19" s="33"/>
      <c r="B19" s="33"/>
      <c r="C19" s="34"/>
      <c r="D19" s="33"/>
      <c r="E19" s="33"/>
      <c r="F19" s="33"/>
      <c r="G19" s="33"/>
      <c r="H19" s="34"/>
      <c r="I19" s="34"/>
      <c r="J19" s="33"/>
      <c r="K19" s="33"/>
      <c r="L19" s="32" t="str">
        <f aca="false">IF(A19="","",IF(G19&lt;&gt;"Yes","Awaiting collab post",IF(K19&lt;&gt;"Yes","FIX DISCLOSURE",IF(N(I19)&gt;=250,"Convert to gift","Keep on loan"))))</f>
        <v/>
      </c>
    </row>
    <row r="20" customFormat="false" ht="15" hidden="false" customHeight="false" outlineLevel="0" collapsed="false">
      <c r="A20" s="33"/>
      <c r="B20" s="33"/>
      <c r="C20" s="34"/>
      <c r="D20" s="33"/>
      <c r="E20" s="33"/>
      <c r="F20" s="33"/>
      <c r="G20" s="33"/>
      <c r="H20" s="34"/>
      <c r="I20" s="34"/>
      <c r="J20" s="33"/>
      <c r="K20" s="33"/>
      <c r="L20" s="32" t="str">
        <f aca="false">IF(A20="","",IF(G20&lt;&gt;"Yes","Awaiting collab post",IF(K20&lt;&gt;"Yes","FIX DISCLOSURE",IF(N(I20)&gt;=250,"Convert to gift","Keep on loan"))))</f>
        <v/>
      </c>
    </row>
    <row r="21" customFormat="false" ht="15" hidden="false" customHeight="false" outlineLevel="0" collapsed="false">
      <c r="A21" s="33"/>
      <c r="B21" s="33"/>
      <c r="C21" s="34"/>
      <c r="D21" s="33"/>
      <c r="E21" s="33"/>
      <c r="F21" s="33"/>
      <c r="G21" s="33"/>
      <c r="H21" s="34"/>
      <c r="I21" s="34"/>
      <c r="J21" s="33"/>
      <c r="K21" s="33"/>
      <c r="L21" s="32" t="str">
        <f aca="false">IF(A21="","",IF(G21&lt;&gt;"Yes","Awaiting collab post",IF(K21&lt;&gt;"Yes","FIX DISCLOSURE",IF(N(I21)&gt;=250,"Convert to gift","Keep on loan"))))</f>
        <v/>
      </c>
    </row>
    <row r="22" customFormat="false" ht="15" hidden="false" customHeight="false" outlineLevel="0" collapsed="false">
      <c r="A22" s="33"/>
      <c r="B22" s="33"/>
      <c r="C22" s="34"/>
      <c r="D22" s="33"/>
      <c r="E22" s="33"/>
      <c r="F22" s="33"/>
      <c r="G22" s="33"/>
      <c r="H22" s="34"/>
      <c r="I22" s="34"/>
      <c r="J22" s="33"/>
      <c r="K22" s="33"/>
      <c r="L22" s="32" t="str">
        <f aca="false">IF(A22="","",IF(G22&lt;&gt;"Yes","Awaiting collab post",IF(K22&lt;&gt;"Yes","FIX DISCLOSURE",IF(N(I22)&gt;=250,"Convert to gift","Keep on loan"))))</f>
        <v/>
      </c>
    </row>
    <row r="23" customFormat="false" ht="15" hidden="false" customHeight="false" outlineLevel="0" collapsed="false">
      <c r="A23" s="33"/>
      <c r="B23" s="33"/>
      <c r="C23" s="34"/>
      <c r="D23" s="33"/>
      <c r="E23" s="33"/>
      <c r="F23" s="33"/>
      <c r="G23" s="33"/>
      <c r="H23" s="34"/>
      <c r="I23" s="34"/>
      <c r="J23" s="33"/>
      <c r="K23" s="33"/>
      <c r="L23" s="32" t="str">
        <f aca="false">IF(A23="","",IF(G23&lt;&gt;"Yes","Awaiting collab post",IF(K23&lt;&gt;"Yes","FIX DISCLOSURE",IF(N(I23)&gt;=250,"Convert to gift","Keep on loan"))))</f>
        <v/>
      </c>
    </row>
    <row r="24" customFormat="false" ht="15" hidden="false" customHeight="false" outlineLevel="0" collapsed="false">
      <c r="A24" s="33"/>
      <c r="B24" s="33"/>
      <c r="C24" s="34"/>
      <c r="D24" s="33"/>
      <c r="E24" s="33"/>
      <c r="F24" s="33"/>
      <c r="G24" s="33"/>
      <c r="H24" s="34"/>
      <c r="I24" s="34"/>
      <c r="J24" s="33"/>
      <c r="K24" s="33"/>
      <c r="L24" s="32" t="str">
        <f aca="false">IF(A24="","",IF(G24&lt;&gt;"Yes","Awaiting collab post",IF(K24&lt;&gt;"Yes","FIX DISCLOSURE",IF(N(I24)&gt;=250,"Convert to gift","Keep on loan"))))</f>
        <v/>
      </c>
    </row>
    <row r="25" customFormat="false" ht="15" hidden="false" customHeight="false" outlineLevel="0" collapsed="false">
      <c r="A25" s="33"/>
      <c r="B25" s="33"/>
      <c r="C25" s="34"/>
      <c r="D25" s="33"/>
      <c r="E25" s="33"/>
      <c r="F25" s="33"/>
      <c r="G25" s="33"/>
      <c r="H25" s="34"/>
      <c r="I25" s="34"/>
      <c r="J25" s="33"/>
      <c r="K25" s="33"/>
      <c r="L25" s="32" t="str">
        <f aca="false">IF(A25="","",IF(G25&lt;&gt;"Yes","Awaiting collab post",IF(K25&lt;&gt;"Yes","FIX DISCLOSURE",IF(N(I25)&gt;=250,"Convert to gift","Keep on loan"))))</f>
        <v/>
      </c>
    </row>
    <row r="26" customFormat="false" ht="15" hidden="false" customHeight="false" outlineLevel="0" collapsed="false">
      <c r="A26" s="33"/>
      <c r="B26" s="33"/>
      <c r="C26" s="34"/>
      <c r="D26" s="33"/>
      <c r="E26" s="33"/>
      <c r="F26" s="33"/>
      <c r="G26" s="33"/>
      <c r="H26" s="34"/>
      <c r="I26" s="34"/>
      <c r="J26" s="33"/>
      <c r="K26" s="33"/>
      <c r="L26" s="32" t="str">
        <f aca="false">IF(A26="","",IF(G26&lt;&gt;"Yes","Awaiting collab post",IF(K26&lt;&gt;"Yes","FIX DISCLOSURE",IF(N(I26)&gt;=250,"Convert to gift","Keep on loan"))))</f>
        <v/>
      </c>
    </row>
    <row r="27" customFormat="false" ht="15" hidden="false" customHeight="false" outlineLevel="0" collapsed="false">
      <c r="A27" s="33"/>
      <c r="B27" s="33"/>
      <c r="C27" s="34"/>
      <c r="D27" s="33"/>
      <c r="E27" s="33"/>
      <c r="F27" s="33"/>
      <c r="G27" s="33"/>
      <c r="H27" s="34"/>
      <c r="I27" s="34"/>
      <c r="J27" s="33"/>
      <c r="K27" s="33"/>
      <c r="L27" s="32" t="str">
        <f aca="false">IF(A27="","",IF(G27&lt;&gt;"Yes","Awaiting collab post",IF(K27&lt;&gt;"Yes","FIX DISCLOSURE",IF(N(I27)&gt;=250,"Convert to gift","Keep on loan"))))</f>
        <v/>
      </c>
    </row>
    <row r="28" customFormat="false" ht="15" hidden="false" customHeight="false" outlineLevel="0" collapsed="false">
      <c r="A28" s="33"/>
      <c r="B28" s="33"/>
      <c r="C28" s="34"/>
      <c r="D28" s="33"/>
      <c r="E28" s="33"/>
      <c r="F28" s="33"/>
      <c r="G28" s="33"/>
      <c r="H28" s="34"/>
      <c r="I28" s="34"/>
      <c r="J28" s="33"/>
      <c r="K28" s="33"/>
      <c r="L28" s="32" t="str">
        <f aca="false">IF(A28="","",IF(G28&lt;&gt;"Yes","Awaiting collab post",IF(K28&lt;&gt;"Yes","FIX DISCLOSURE",IF(N(I28)&gt;=250,"Convert to gift","Keep on loan"))))</f>
        <v/>
      </c>
    </row>
    <row r="29" customFormat="false" ht="15" hidden="false" customHeight="false" outlineLevel="0" collapsed="false">
      <c r="A29" s="33"/>
      <c r="B29" s="33"/>
      <c r="C29" s="34"/>
      <c r="D29" s="33"/>
      <c r="E29" s="33"/>
      <c r="F29" s="33"/>
      <c r="G29" s="33"/>
      <c r="H29" s="34"/>
      <c r="I29" s="34"/>
      <c r="J29" s="33"/>
      <c r="K29" s="33"/>
      <c r="L29" s="32" t="str">
        <f aca="false">IF(A29="","",IF(G29&lt;&gt;"Yes","Awaiting collab post",IF(K29&lt;&gt;"Yes","FIX DISCLOSURE",IF(N(I29)&gt;=250,"Convert to gift","Keep on loan"))))</f>
        <v/>
      </c>
    </row>
    <row r="30" customFormat="false" ht="15" hidden="false" customHeight="false" outlineLevel="0" collapsed="false">
      <c r="A30" s="33"/>
      <c r="B30" s="33"/>
      <c r="C30" s="34"/>
      <c r="D30" s="33"/>
      <c r="E30" s="33"/>
      <c r="F30" s="33"/>
      <c r="G30" s="33"/>
      <c r="H30" s="34"/>
      <c r="I30" s="34"/>
      <c r="J30" s="33"/>
      <c r="K30" s="33"/>
      <c r="L30" s="32" t="str">
        <f aca="false">IF(A30="","",IF(G30&lt;&gt;"Yes","Awaiting collab post",IF(K30&lt;&gt;"Yes","FIX DISCLOSURE",IF(N(I30)&gt;=250,"Convert to gift","Keep on loan"))))</f>
        <v/>
      </c>
    </row>
    <row r="31" customFormat="false" ht="15" hidden="false" customHeight="false" outlineLevel="0" collapsed="false">
      <c r="A31" s="33"/>
      <c r="B31" s="33"/>
      <c r="C31" s="34"/>
      <c r="D31" s="33"/>
      <c r="E31" s="33"/>
      <c r="F31" s="33"/>
      <c r="G31" s="33"/>
      <c r="H31" s="34"/>
      <c r="I31" s="34"/>
      <c r="J31" s="33"/>
      <c r="K31" s="33"/>
      <c r="L31" s="32" t="str">
        <f aca="false">IF(A31="","",IF(G31&lt;&gt;"Yes","Awaiting collab post",IF(K31&lt;&gt;"Yes","FIX DISCLOSURE",IF(N(I31)&gt;=250,"Convert to gift","Keep on loan"))))</f>
        <v/>
      </c>
    </row>
    <row r="32" customFormat="false" ht="15" hidden="false" customHeight="false" outlineLevel="0" collapsed="false">
      <c r="A32" s="33"/>
      <c r="B32" s="33"/>
      <c r="C32" s="34"/>
      <c r="D32" s="33"/>
      <c r="E32" s="33"/>
      <c r="F32" s="33"/>
      <c r="G32" s="33"/>
      <c r="H32" s="34"/>
      <c r="I32" s="34"/>
      <c r="J32" s="33"/>
      <c r="K32" s="33"/>
      <c r="L32" s="32" t="str">
        <f aca="false">IF(A32="","",IF(G32&lt;&gt;"Yes","Awaiting collab post",IF(K32&lt;&gt;"Yes","FIX DISCLOSURE",IF(N(I32)&gt;=250,"Convert to gift","Keep on loan"))))</f>
        <v/>
      </c>
    </row>
    <row r="33" customFormat="false" ht="15" hidden="false" customHeight="false" outlineLevel="0" collapsed="false">
      <c r="A33" s="33"/>
      <c r="B33" s="33"/>
      <c r="C33" s="34"/>
      <c r="D33" s="33"/>
      <c r="E33" s="33"/>
      <c r="F33" s="33"/>
      <c r="G33" s="33"/>
      <c r="H33" s="34"/>
      <c r="I33" s="34"/>
      <c r="J33" s="33"/>
      <c r="K33" s="33"/>
      <c r="L33" s="32" t="str">
        <f aca="false">IF(A33="","",IF(G33&lt;&gt;"Yes","Awaiting collab post",IF(K33&lt;&gt;"Yes","FIX DISCLOSURE",IF(N(I33)&gt;=250,"Convert to gift","Keep on loan"))))</f>
        <v/>
      </c>
    </row>
    <row r="34" customFormat="false" ht="15" hidden="false" customHeight="false" outlineLevel="0" collapsed="false">
      <c r="A34" s="33"/>
      <c r="B34" s="33"/>
      <c r="C34" s="34"/>
      <c r="D34" s="33"/>
      <c r="E34" s="33"/>
      <c r="F34" s="33"/>
      <c r="G34" s="33"/>
      <c r="H34" s="34"/>
      <c r="I34" s="34"/>
      <c r="J34" s="33"/>
      <c r="K34" s="33"/>
      <c r="L34" s="32" t="str">
        <f aca="false">IF(A34="","",IF(G34&lt;&gt;"Yes","Awaiting collab post",IF(K34&lt;&gt;"Yes","FIX DISCLOSURE",IF(N(I34)&gt;=250,"Convert to gift","Keep on loan"))))</f>
        <v/>
      </c>
    </row>
    <row r="35" customFormat="false" ht="15" hidden="false" customHeight="false" outlineLevel="0" collapsed="false">
      <c r="A35" s="33"/>
      <c r="B35" s="33"/>
      <c r="C35" s="34"/>
      <c r="D35" s="33"/>
      <c r="E35" s="33"/>
      <c r="F35" s="33"/>
      <c r="G35" s="33"/>
      <c r="H35" s="34"/>
      <c r="I35" s="34"/>
      <c r="J35" s="33"/>
      <c r="K35" s="33"/>
      <c r="L35" s="32" t="str">
        <f aca="false">IF(A35="","",IF(G35&lt;&gt;"Yes","Awaiting collab post",IF(K35&lt;&gt;"Yes","FIX DISCLOSURE",IF(N(I35)&gt;=250,"Convert to gift","Keep on loan"))))</f>
        <v/>
      </c>
    </row>
    <row r="36" customFormat="false" ht="15" hidden="false" customHeight="false" outlineLevel="0" collapsed="false">
      <c r="A36" s="33"/>
      <c r="B36" s="33"/>
      <c r="C36" s="34"/>
      <c r="D36" s="33"/>
      <c r="E36" s="33"/>
      <c r="F36" s="33"/>
      <c r="G36" s="33"/>
      <c r="H36" s="34"/>
      <c r="I36" s="34"/>
      <c r="J36" s="33"/>
      <c r="K36" s="33"/>
      <c r="L36" s="32" t="str">
        <f aca="false">IF(A36="","",IF(G36&lt;&gt;"Yes","Awaiting collab post",IF(K36&lt;&gt;"Yes","FIX DISCLOSURE",IF(N(I36)&gt;=250,"Convert to gift","Keep on loan"))))</f>
        <v/>
      </c>
    </row>
    <row r="37" customFormat="false" ht="15" hidden="false" customHeight="false" outlineLevel="0" collapsed="false">
      <c r="A37" s="33"/>
      <c r="B37" s="33"/>
      <c r="C37" s="34"/>
      <c r="D37" s="33"/>
      <c r="E37" s="33"/>
      <c r="F37" s="33"/>
      <c r="G37" s="33"/>
      <c r="H37" s="34"/>
      <c r="I37" s="34"/>
      <c r="J37" s="33"/>
      <c r="K37" s="33"/>
      <c r="L37" s="32" t="str">
        <f aca="false">IF(A37="","",IF(G37&lt;&gt;"Yes","Awaiting collab post",IF(K37&lt;&gt;"Yes","FIX DISCLOSURE",IF(N(I37)&gt;=250,"Convert to gift","Keep on loan"))))</f>
        <v/>
      </c>
    </row>
    <row r="38" customFormat="false" ht="15" hidden="false" customHeight="false" outlineLevel="0" collapsed="false">
      <c r="A38" s="33"/>
      <c r="B38" s="33"/>
      <c r="C38" s="34"/>
      <c r="D38" s="33"/>
      <c r="E38" s="33"/>
      <c r="F38" s="33"/>
      <c r="G38" s="33"/>
      <c r="H38" s="34"/>
      <c r="I38" s="34"/>
      <c r="J38" s="33"/>
      <c r="K38" s="33"/>
      <c r="L38" s="32" t="str">
        <f aca="false">IF(A38="","",IF(G38&lt;&gt;"Yes","Awaiting collab post",IF(K38&lt;&gt;"Yes","FIX DISCLOSURE",IF(N(I38)&gt;=250,"Convert to gift","Keep on loan"))))</f>
        <v/>
      </c>
    </row>
    <row r="39" customFormat="false" ht="15" hidden="false" customHeight="false" outlineLevel="0" collapsed="false">
      <c r="A39" s="33"/>
      <c r="B39" s="33"/>
      <c r="C39" s="34"/>
      <c r="D39" s="33"/>
      <c r="E39" s="33"/>
      <c r="F39" s="33"/>
      <c r="G39" s="33"/>
      <c r="H39" s="34"/>
      <c r="I39" s="34"/>
      <c r="J39" s="33"/>
      <c r="K39" s="33"/>
      <c r="L39" s="32" t="str">
        <f aca="false">IF(A39="","",IF(G39&lt;&gt;"Yes","Awaiting collab post",IF(K39&lt;&gt;"Yes","FIX DISCLOSURE",IF(N(I39)&gt;=250,"Convert to gift","Keep on loan"))))</f>
        <v/>
      </c>
    </row>
    <row r="40" customFormat="false" ht="15" hidden="false" customHeight="false" outlineLevel="0" collapsed="false">
      <c r="A40" s="33"/>
      <c r="B40" s="33"/>
      <c r="C40" s="34"/>
      <c r="D40" s="33"/>
      <c r="E40" s="33"/>
      <c r="F40" s="33"/>
      <c r="G40" s="33"/>
      <c r="H40" s="34"/>
      <c r="I40" s="34"/>
      <c r="J40" s="33"/>
      <c r="K40" s="33"/>
      <c r="L40" s="32" t="str">
        <f aca="false">IF(A40="","",IF(G40&lt;&gt;"Yes","Awaiting collab post",IF(K40&lt;&gt;"Yes","FIX DISCLOSURE",IF(N(I40)&gt;=250,"Convert to gift","Keep on loan"))))</f>
        <v/>
      </c>
    </row>
    <row r="41" customFormat="false" ht="15" hidden="false" customHeight="false" outlineLevel="0" collapsed="false">
      <c r="A41" s="33"/>
      <c r="B41" s="33"/>
      <c r="C41" s="34"/>
      <c r="D41" s="33"/>
      <c r="E41" s="33"/>
      <c r="F41" s="33"/>
      <c r="G41" s="33"/>
      <c r="H41" s="34"/>
      <c r="I41" s="34"/>
      <c r="J41" s="33"/>
      <c r="K41" s="33"/>
      <c r="L41" s="32" t="str">
        <f aca="false">IF(A41="","",IF(G41&lt;&gt;"Yes","Awaiting collab post",IF(K41&lt;&gt;"Yes","FIX DISCLOSURE",IF(N(I41)&gt;=250,"Convert to gift","Keep on loan"))))</f>
        <v/>
      </c>
    </row>
    <row r="42" customFormat="false" ht="15" hidden="false" customHeight="false" outlineLevel="0" collapsed="false">
      <c r="A42" s="33"/>
      <c r="B42" s="33"/>
      <c r="C42" s="34"/>
      <c r="D42" s="33"/>
      <c r="E42" s="33"/>
      <c r="F42" s="33"/>
      <c r="G42" s="33"/>
      <c r="H42" s="34"/>
      <c r="I42" s="34"/>
      <c r="J42" s="33"/>
      <c r="K42" s="33"/>
      <c r="L42" s="32" t="str">
        <f aca="false">IF(A42="","",IF(G42&lt;&gt;"Yes","Awaiting collab post",IF(K42&lt;&gt;"Yes","FIX DISCLOSURE",IF(N(I42)&gt;=250,"Convert to gift","Keep on loan"))))</f>
        <v/>
      </c>
    </row>
    <row r="43" customFormat="false" ht="15" hidden="false" customHeight="false" outlineLevel="0" collapsed="false">
      <c r="A43" s="33"/>
      <c r="B43" s="33"/>
      <c r="C43" s="34"/>
      <c r="D43" s="33"/>
      <c r="E43" s="33"/>
      <c r="F43" s="33"/>
      <c r="G43" s="33"/>
      <c r="H43" s="34"/>
      <c r="I43" s="34"/>
      <c r="J43" s="33"/>
      <c r="K43" s="33"/>
      <c r="L43" s="32" t="str">
        <f aca="false">IF(A43="","",IF(G43&lt;&gt;"Yes","Awaiting collab post",IF(K43&lt;&gt;"Yes","FIX DISCLOSURE",IF(N(I43)&gt;=250,"Convert to gift","Keep on loan"))))</f>
        <v/>
      </c>
    </row>
    <row r="44" customFormat="false" ht="15" hidden="false" customHeight="false" outlineLevel="0" collapsed="false">
      <c r="A44" s="33"/>
      <c r="B44" s="33"/>
      <c r="C44" s="34"/>
      <c r="D44" s="33"/>
      <c r="E44" s="33"/>
      <c r="F44" s="33"/>
      <c r="G44" s="33"/>
      <c r="H44" s="34"/>
      <c r="I44" s="34"/>
      <c r="J44" s="33"/>
      <c r="K44" s="33"/>
      <c r="L44" s="32" t="str">
        <f aca="false">IF(A44="","",IF(G44&lt;&gt;"Yes","Awaiting collab post",IF(K44&lt;&gt;"Yes","FIX DISCLOSURE",IF(N(I44)&gt;=250,"Convert to gift","Keep on loan"))))</f>
        <v/>
      </c>
    </row>
    <row r="45" customFormat="false" ht="15" hidden="false" customHeight="false" outlineLevel="0" collapsed="false">
      <c r="A45" s="33"/>
      <c r="B45" s="33"/>
      <c r="C45" s="34"/>
      <c r="D45" s="33"/>
      <c r="E45" s="33"/>
      <c r="F45" s="33"/>
      <c r="G45" s="33"/>
      <c r="H45" s="34"/>
      <c r="I45" s="34"/>
      <c r="J45" s="33"/>
      <c r="K45" s="33"/>
      <c r="L45" s="32" t="str">
        <f aca="false">IF(A45="","",IF(G45&lt;&gt;"Yes","Awaiting collab post",IF(K45&lt;&gt;"Yes","FIX DISCLOSURE",IF(N(I45)&gt;=250,"Convert to gift","Keep on loan"))))</f>
        <v/>
      </c>
    </row>
    <row r="46" customFormat="false" ht="15" hidden="false" customHeight="false" outlineLevel="0" collapsed="false">
      <c r="A46" s="33"/>
      <c r="B46" s="33"/>
      <c r="C46" s="34"/>
      <c r="D46" s="33"/>
      <c r="E46" s="33"/>
      <c r="F46" s="33"/>
      <c r="G46" s="33"/>
      <c r="H46" s="34"/>
      <c r="I46" s="34"/>
      <c r="J46" s="33"/>
      <c r="K46" s="33"/>
      <c r="L46" s="32" t="str">
        <f aca="false">IF(A46="","",IF(G46&lt;&gt;"Yes","Awaiting collab post",IF(K46&lt;&gt;"Yes","FIX DISCLOSURE",IF(N(I46)&gt;=250,"Convert to gift","Keep on loan"))))</f>
        <v/>
      </c>
    </row>
    <row r="47" customFormat="false" ht="15" hidden="false" customHeight="false" outlineLevel="0" collapsed="false">
      <c r="A47" s="33"/>
      <c r="B47" s="33"/>
      <c r="C47" s="34"/>
      <c r="D47" s="33"/>
      <c r="E47" s="33"/>
      <c r="F47" s="33"/>
      <c r="G47" s="33"/>
      <c r="H47" s="34"/>
      <c r="I47" s="34"/>
      <c r="J47" s="33"/>
      <c r="K47" s="33"/>
      <c r="L47" s="32" t="str">
        <f aca="false">IF(A47="","",IF(G47&lt;&gt;"Yes","Awaiting collab post",IF(K47&lt;&gt;"Yes","FIX DISCLOSURE",IF(N(I47)&gt;=250,"Convert to gift","Keep on loan"))))</f>
        <v/>
      </c>
    </row>
    <row r="48" customFormat="false" ht="15" hidden="false" customHeight="false" outlineLevel="0" collapsed="false">
      <c r="A48" s="33"/>
      <c r="B48" s="33"/>
      <c r="C48" s="34"/>
      <c r="D48" s="33"/>
      <c r="E48" s="33"/>
      <c r="F48" s="33"/>
      <c r="G48" s="33"/>
      <c r="H48" s="34"/>
      <c r="I48" s="34"/>
      <c r="J48" s="33"/>
      <c r="K48" s="33"/>
      <c r="L48" s="32" t="str">
        <f aca="false">IF(A48="","",IF(G48&lt;&gt;"Yes","Awaiting collab post",IF(K48&lt;&gt;"Yes","FIX DISCLOSURE",IF(N(I48)&gt;=250,"Convert to gift","Keep on loan"))))</f>
        <v/>
      </c>
    </row>
    <row r="49" customFormat="false" ht="15" hidden="false" customHeight="false" outlineLevel="0" collapsed="false">
      <c r="A49" s="33"/>
      <c r="B49" s="33"/>
      <c r="C49" s="34"/>
      <c r="D49" s="33"/>
      <c r="E49" s="33"/>
      <c r="F49" s="33"/>
      <c r="G49" s="33"/>
      <c r="H49" s="34"/>
      <c r="I49" s="34"/>
      <c r="J49" s="33"/>
      <c r="K49" s="33"/>
      <c r="L49" s="32" t="str">
        <f aca="false">IF(A49="","",IF(G49&lt;&gt;"Yes","Awaiting collab post",IF(K49&lt;&gt;"Yes","FIX DISCLOSURE",IF(N(I49)&gt;=250,"Convert to gift","Keep on loan"))))</f>
        <v/>
      </c>
    </row>
    <row r="50" customFormat="false" ht="15" hidden="false" customHeight="false" outlineLevel="0" collapsed="false">
      <c r="A50" s="33"/>
      <c r="B50" s="33"/>
      <c r="C50" s="34"/>
      <c r="D50" s="33"/>
      <c r="E50" s="33"/>
      <c r="F50" s="33"/>
      <c r="G50" s="33"/>
      <c r="H50" s="34"/>
      <c r="I50" s="34"/>
      <c r="J50" s="33"/>
      <c r="K50" s="33"/>
      <c r="L50" s="32" t="str">
        <f aca="false">IF(A50="","",IF(G50&lt;&gt;"Yes","Awaiting collab post",IF(K50&lt;&gt;"Yes","FIX DISCLOSURE",IF(N(I50)&gt;=250,"Convert to gift","Keep on loan"))))</f>
        <v/>
      </c>
    </row>
    <row r="51" customFormat="false" ht="15" hidden="false" customHeight="false" outlineLevel="0" collapsed="false">
      <c r="A51" s="33"/>
      <c r="B51" s="33"/>
      <c r="C51" s="34"/>
      <c r="D51" s="33"/>
      <c r="E51" s="33"/>
      <c r="F51" s="33"/>
      <c r="G51" s="33"/>
      <c r="H51" s="34"/>
      <c r="I51" s="34"/>
      <c r="J51" s="33"/>
      <c r="K51" s="33"/>
      <c r="L51" s="32" t="str">
        <f aca="false">IF(A51="","",IF(G51&lt;&gt;"Yes","Awaiting collab post",IF(K51&lt;&gt;"Yes","FIX DISCLOSURE",IF(N(I51)&gt;=250,"Convert to gift","Keep on loan"))))</f>
        <v/>
      </c>
    </row>
    <row r="52" customFormat="false" ht="15" hidden="false" customHeight="false" outlineLevel="0" collapsed="false">
      <c r="A52" s="33"/>
      <c r="B52" s="33"/>
      <c r="C52" s="34"/>
      <c r="D52" s="33"/>
      <c r="E52" s="33"/>
      <c r="F52" s="33"/>
      <c r="G52" s="33"/>
      <c r="H52" s="34"/>
      <c r="I52" s="34"/>
      <c r="J52" s="33"/>
      <c r="K52" s="33"/>
      <c r="L52" s="32" t="str">
        <f aca="false">IF(A52="","",IF(G52&lt;&gt;"Yes","Awaiting collab post",IF(K52&lt;&gt;"Yes","FIX DISCLOSURE",IF(N(I52)&gt;=250,"Convert to gift","Keep on loan"))))</f>
        <v/>
      </c>
    </row>
    <row r="53" customFormat="false" ht="15" hidden="false" customHeight="false" outlineLevel="0" collapsed="false">
      <c r="A53" s="33"/>
      <c r="B53" s="33"/>
      <c r="C53" s="34"/>
      <c r="D53" s="33"/>
      <c r="E53" s="33"/>
      <c r="F53" s="33"/>
      <c r="G53" s="33"/>
      <c r="H53" s="34"/>
      <c r="I53" s="34"/>
      <c r="J53" s="33"/>
      <c r="K53" s="33"/>
      <c r="L53" s="32" t="str">
        <f aca="false">IF(A53="","",IF(G53&lt;&gt;"Yes","Awaiting collab post",IF(K53&lt;&gt;"Yes","FIX DISCLOSURE",IF(N(I53)&gt;=250,"Convert to gift","Keep on loan"))))</f>
        <v/>
      </c>
    </row>
    <row r="54" customFormat="false" ht="15" hidden="false" customHeight="false" outlineLevel="0" collapsed="false">
      <c r="A54" s="33"/>
      <c r="B54" s="33"/>
      <c r="C54" s="34"/>
      <c r="D54" s="33"/>
      <c r="E54" s="33"/>
      <c r="F54" s="33"/>
      <c r="G54" s="33"/>
      <c r="H54" s="34"/>
      <c r="I54" s="34"/>
      <c r="J54" s="33"/>
      <c r="K54" s="33"/>
      <c r="L54" s="32" t="str">
        <f aca="false">IF(A54="","",IF(G54&lt;&gt;"Yes","Awaiting collab post",IF(K54&lt;&gt;"Yes","FIX DISCLOSURE",IF(N(I54)&gt;=250,"Convert to gift","Keep on loan"))))</f>
        <v/>
      </c>
    </row>
    <row r="55" customFormat="false" ht="15" hidden="false" customHeight="false" outlineLevel="0" collapsed="false">
      <c r="A55" s="33"/>
      <c r="B55" s="33"/>
      <c r="C55" s="34"/>
      <c r="D55" s="33"/>
      <c r="E55" s="33"/>
      <c r="F55" s="33"/>
      <c r="G55" s="33"/>
      <c r="H55" s="34"/>
      <c r="I55" s="34"/>
      <c r="J55" s="33"/>
      <c r="K55" s="33"/>
      <c r="L55" s="32" t="str">
        <f aca="false">IF(A55="","",IF(G55&lt;&gt;"Yes","Awaiting collab post",IF(K55&lt;&gt;"Yes","FIX DISCLOSURE",IF(N(I55)&gt;=250,"Convert to gift","Keep on loan"))))</f>
        <v/>
      </c>
    </row>
    <row r="56" customFormat="false" ht="15" hidden="false" customHeight="false" outlineLevel="0" collapsed="false">
      <c r="A56" s="33"/>
      <c r="B56" s="33"/>
      <c r="C56" s="34"/>
      <c r="D56" s="33"/>
      <c r="E56" s="33"/>
      <c r="F56" s="33"/>
      <c r="G56" s="33"/>
      <c r="H56" s="34"/>
      <c r="I56" s="34"/>
      <c r="J56" s="33"/>
      <c r="K56" s="33"/>
      <c r="L56" s="32" t="str">
        <f aca="false">IF(A56="","",IF(G56&lt;&gt;"Yes","Awaiting collab post",IF(K56&lt;&gt;"Yes","FIX DISCLOSURE",IF(N(I56)&gt;=250,"Convert to gift","Keep on loan"))))</f>
        <v/>
      </c>
    </row>
    <row r="57" customFormat="false" ht="15" hidden="false" customHeight="false" outlineLevel="0" collapsed="false">
      <c r="A57" s="33"/>
      <c r="B57" s="33"/>
      <c r="C57" s="34"/>
      <c r="D57" s="33"/>
      <c r="E57" s="33"/>
      <c r="F57" s="33"/>
      <c r="G57" s="33"/>
      <c r="H57" s="34"/>
      <c r="I57" s="34"/>
      <c r="J57" s="33"/>
      <c r="K57" s="33"/>
      <c r="L57" s="32" t="str">
        <f aca="false">IF(A57="","",IF(G57&lt;&gt;"Yes","Awaiting collab post",IF(K57&lt;&gt;"Yes","FIX DISCLOSURE",IF(N(I57)&gt;=250,"Convert to gift","Keep on loan"))))</f>
        <v/>
      </c>
    </row>
    <row r="58" customFormat="false" ht="15" hidden="false" customHeight="false" outlineLevel="0" collapsed="false">
      <c r="A58" s="33"/>
      <c r="B58" s="33"/>
      <c r="C58" s="34"/>
      <c r="D58" s="33"/>
      <c r="E58" s="33"/>
      <c r="F58" s="33"/>
      <c r="G58" s="33"/>
      <c r="H58" s="34"/>
      <c r="I58" s="34"/>
      <c r="J58" s="33"/>
      <c r="K58" s="33"/>
      <c r="L58" s="32" t="str">
        <f aca="false">IF(A58="","",IF(G58&lt;&gt;"Yes","Awaiting collab post",IF(K58&lt;&gt;"Yes","FIX DISCLOSURE",IF(N(I58)&gt;=250,"Convert to gift","Keep on loan"))))</f>
        <v/>
      </c>
    </row>
    <row r="59" customFormat="false" ht="15" hidden="false" customHeight="false" outlineLevel="0" collapsed="false">
      <c r="A59" s="33"/>
      <c r="B59" s="33"/>
      <c r="C59" s="34"/>
      <c r="D59" s="33"/>
      <c r="E59" s="33"/>
      <c r="F59" s="33"/>
      <c r="G59" s="33"/>
      <c r="H59" s="34"/>
      <c r="I59" s="34"/>
      <c r="J59" s="33"/>
      <c r="K59" s="33"/>
      <c r="L59" s="32" t="str">
        <f aca="false">IF(A59="","",IF(G59&lt;&gt;"Yes","Awaiting collab post",IF(K59&lt;&gt;"Yes","FIX DISCLOSURE",IF(N(I59)&gt;=250,"Convert to gift","Keep on loan"))))</f>
        <v/>
      </c>
    </row>
    <row r="60" customFormat="false" ht="15" hidden="false" customHeight="false" outlineLevel="0" collapsed="false">
      <c r="A60" s="33"/>
      <c r="B60" s="33"/>
      <c r="C60" s="34"/>
      <c r="D60" s="33"/>
      <c r="E60" s="33"/>
      <c r="F60" s="33"/>
      <c r="G60" s="33"/>
      <c r="H60" s="34"/>
      <c r="I60" s="34"/>
      <c r="J60" s="33"/>
      <c r="K60" s="33"/>
      <c r="L60" s="32" t="str">
        <f aca="false">IF(A60="","",IF(G60&lt;&gt;"Yes","Awaiting collab post",IF(K60&lt;&gt;"Yes","FIX DISCLOSURE",IF(N(I60)&gt;=250,"Convert to gift","Keep on loan"))))</f>
        <v/>
      </c>
    </row>
    <row r="61" customFormat="false" ht="15" hidden="false" customHeight="false" outlineLevel="0" collapsed="false">
      <c r="A61" s="33"/>
      <c r="B61" s="33"/>
      <c r="C61" s="34"/>
      <c r="D61" s="33"/>
      <c r="E61" s="33"/>
      <c r="F61" s="33"/>
      <c r="G61" s="33"/>
      <c r="H61" s="34"/>
      <c r="I61" s="34"/>
      <c r="J61" s="33"/>
      <c r="K61" s="33"/>
      <c r="L61" s="32" t="str">
        <f aca="false">IF(A61="","",IF(G61&lt;&gt;"Yes","Awaiting collab post",IF(K61&lt;&gt;"Yes","FIX DISCLOSURE",IF(N(I61)&gt;=250,"Convert to gift","Keep on loan"))))</f>
        <v/>
      </c>
    </row>
    <row r="62" customFormat="false" ht="15" hidden="false" customHeight="false" outlineLevel="0" collapsed="false">
      <c r="A62" s="33"/>
      <c r="B62" s="33"/>
      <c r="C62" s="34"/>
      <c r="D62" s="33"/>
      <c r="E62" s="33"/>
      <c r="F62" s="33"/>
      <c r="G62" s="33"/>
      <c r="H62" s="34"/>
      <c r="I62" s="34"/>
      <c r="J62" s="33"/>
      <c r="K62" s="33"/>
      <c r="L62" s="32" t="str">
        <f aca="false">IF(A62="","",IF(G62&lt;&gt;"Yes","Awaiting collab post",IF(K62&lt;&gt;"Yes","FIX DISCLOSURE",IF(N(I62)&gt;=250,"Convert to gift","Keep on loan"))))</f>
        <v/>
      </c>
    </row>
    <row r="63" customFormat="false" ht="15" hidden="false" customHeight="false" outlineLevel="0" collapsed="false">
      <c r="A63" s="33"/>
      <c r="B63" s="33"/>
      <c r="C63" s="34"/>
      <c r="D63" s="33"/>
      <c r="E63" s="33"/>
      <c r="F63" s="33"/>
      <c r="G63" s="33"/>
      <c r="H63" s="34"/>
      <c r="I63" s="34"/>
      <c r="J63" s="33"/>
      <c r="K63" s="33"/>
      <c r="L63" s="32" t="str">
        <f aca="false">IF(A63="","",IF(G63&lt;&gt;"Yes","Awaiting collab post",IF(K63&lt;&gt;"Yes","FIX DISCLOSURE",IF(N(I63)&gt;=250,"Convert to gift","Keep on loan"))))</f>
        <v/>
      </c>
    </row>
    <row r="64" customFormat="false" ht="15" hidden="false" customHeight="false" outlineLevel="0" collapsed="false">
      <c r="A64" s="33"/>
      <c r="B64" s="33"/>
      <c r="C64" s="34"/>
      <c r="D64" s="33"/>
      <c r="E64" s="33"/>
      <c r="F64" s="33"/>
      <c r="G64" s="33"/>
      <c r="H64" s="34"/>
      <c r="I64" s="34"/>
      <c r="J64" s="33"/>
      <c r="K64" s="33"/>
      <c r="L64" s="32" t="str">
        <f aca="false">IF(A64="","",IF(G64&lt;&gt;"Yes","Awaiting collab post",IF(K64&lt;&gt;"Yes","FIX DISCLOSURE",IF(N(I64)&gt;=250,"Convert to gift","Keep on loan"))))</f>
        <v/>
      </c>
    </row>
    <row r="65" customFormat="false" ht="15" hidden="false" customHeight="false" outlineLevel="0" collapsed="false">
      <c r="A65" s="33"/>
      <c r="B65" s="33"/>
      <c r="C65" s="34"/>
      <c r="D65" s="33"/>
      <c r="E65" s="33"/>
      <c r="F65" s="33"/>
      <c r="G65" s="33"/>
      <c r="H65" s="34"/>
      <c r="I65" s="34"/>
      <c r="J65" s="33"/>
      <c r="K65" s="33"/>
      <c r="L65" s="32" t="str">
        <f aca="false">IF(A65="","",IF(G65&lt;&gt;"Yes","Awaiting collab post",IF(K65&lt;&gt;"Yes","FIX DISCLOSURE",IF(N(I65)&gt;=250,"Convert to gift","Keep on loan"))))</f>
        <v/>
      </c>
    </row>
    <row r="66" customFormat="false" ht="15" hidden="false" customHeight="false" outlineLevel="0" collapsed="false">
      <c r="A66" s="33"/>
      <c r="B66" s="33"/>
      <c r="C66" s="34"/>
      <c r="D66" s="33"/>
      <c r="E66" s="33"/>
      <c r="F66" s="33"/>
      <c r="G66" s="33"/>
      <c r="H66" s="34"/>
      <c r="I66" s="34"/>
      <c r="J66" s="33"/>
      <c r="K66" s="33"/>
      <c r="L66" s="32" t="str">
        <f aca="false">IF(A66="","",IF(G66&lt;&gt;"Yes","Awaiting collab post",IF(K66&lt;&gt;"Yes","FIX DISCLOSURE",IF(N(I66)&gt;=250,"Convert to gift","Keep on loan"))))</f>
        <v/>
      </c>
    </row>
    <row r="67" customFormat="false" ht="15" hidden="false" customHeight="false" outlineLevel="0" collapsed="false">
      <c r="A67" s="33"/>
      <c r="B67" s="33"/>
      <c r="C67" s="34"/>
      <c r="D67" s="33"/>
      <c r="E67" s="33"/>
      <c r="F67" s="33"/>
      <c r="G67" s="33"/>
      <c r="H67" s="34"/>
      <c r="I67" s="34"/>
      <c r="J67" s="33"/>
      <c r="K67" s="33"/>
      <c r="L67" s="32" t="str">
        <f aca="false">IF(A67="","",IF(G67&lt;&gt;"Yes","Awaiting collab post",IF(K67&lt;&gt;"Yes","FIX DISCLOSURE",IF(N(I67)&gt;=250,"Convert to gift","Keep on loan"))))</f>
        <v/>
      </c>
    </row>
    <row r="68" customFormat="false" ht="15" hidden="false" customHeight="false" outlineLevel="0" collapsed="false">
      <c r="A68" s="33"/>
      <c r="B68" s="33"/>
      <c r="C68" s="34"/>
      <c r="D68" s="33"/>
      <c r="E68" s="33"/>
      <c r="F68" s="33"/>
      <c r="G68" s="33"/>
      <c r="H68" s="34"/>
      <c r="I68" s="34"/>
      <c r="J68" s="33"/>
      <c r="K68" s="33"/>
      <c r="L68" s="32" t="str">
        <f aca="false">IF(A68="","",IF(G68&lt;&gt;"Yes","Awaiting collab post",IF(K68&lt;&gt;"Yes","FIX DISCLOSURE",IF(N(I68)&gt;=250,"Convert to gift","Keep on loan"))))</f>
        <v/>
      </c>
    </row>
    <row r="69" customFormat="false" ht="15" hidden="false" customHeight="false" outlineLevel="0" collapsed="false">
      <c r="A69" s="33"/>
      <c r="B69" s="33"/>
      <c r="C69" s="34"/>
      <c r="D69" s="33"/>
      <c r="E69" s="33"/>
      <c r="F69" s="33"/>
      <c r="G69" s="33"/>
      <c r="H69" s="34"/>
      <c r="I69" s="34"/>
      <c r="J69" s="33"/>
      <c r="K69" s="33"/>
      <c r="L69" s="32" t="str">
        <f aca="false">IF(A69="","",IF(G69&lt;&gt;"Yes","Awaiting collab post",IF(K69&lt;&gt;"Yes","FIX DISCLOSURE",IF(N(I69)&gt;=250,"Convert to gift","Keep on loan"))))</f>
        <v/>
      </c>
    </row>
    <row r="70" customFormat="false" ht="15" hidden="false" customHeight="false" outlineLevel="0" collapsed="false">
      <c r="A70" s="33"/>
      <c r="B70" s="33"/>
      <c r="C70" s="34"/>
      <c r="D70" s="33"/>
      <c r="E70" s="33"/>
      <c r="F70" s="33"/>
      <c r="G70" s="33"/>
      <c r="H70" s="34"/>
      <c r="I70" s="34"/>
      <c r="J70" s="33"/>
      <c r="K70" s="33"/>
      <c r="L70" s="32" t="str">
        <f aca="false">IF(A70="","",IF(G70&lt;&gt;"Yes","Awaiting collab post",IF(K70&lt;&gt;"Yes","FIX DISCLOSURE",IF(N(I70)&gt;=250,"Convert to gift","Keep on loan"))))</f>
        <v/>
      </c>
    </row>
    <row r="71" customFormat="false" ht="15" hidden="false" customHeight="false" outlineLevel="0" collapsed="false">
      <c r="A71" s="33"/>
      <c r="B71" s="33"/>
      <c r="C71" s="34"/>
      <c r="D71" s="33"/>
      <c r="E71" s="33"/>
      <c r="F71" s="33"/>
      <c r="G71" s="33"/>
      <c r="H71" s="34"/>
      <c r="I71" s="34"/>
      <c r="J71" s="33"/>
      <c r="K71" s="33"/>
      <c r="L71" s="32" t="str">
        <f aca="false">IF(A71="","",IF(G71&lt;&gt;"Yes","Awaiting collab post",IF(K71&lt;&gt;"Yes","FIX DISCLOSURE",IF(N(I71)&gt;=250,"Convert to gift","Keep on loan"))))</f>
        <v/>
      </c>
    </row>
    <row r="72" customFormat="false" ht="15" hidden="false" customHeight="false" outlineLevel="0" collapsed="false">
      <c r="A72" s="33"/>
      <c r="B72" s="33"/>
      <c r="C72" s="34"/>
      <c r="D72" s="33"/>
      <c r="E72" s="33"/>
      <c r="F72" s="33"/>
      <c r="G72" s="33"/>
      <c r="H72" s="34"/>
      <c r="I72" s="34"/>
      <c r="J72" s="33"/>
      <c r="K72" s="33"/>
      <c r="L72" s="32" t="str">
        <f aca="false">IF(A72="","",IF(G72&lt;&gt;"Yes","Awaiting collab post",IF(K72&lt;&gt;"Yes","FIX DISCLOSURE",IF(N(I72)&gt;=250,"Convert to gift","Keep on loan"))))</f>
        <v/>
      </c>
    </row>
    <row r="73" customFormat="false" ht="15" hidden="false" customHeight="false" outlineLevel="0" collapsed="false">
      <c r="A73" s="33"/>
      <c r="B73" s="33"/>
      <c r="C73" s="34"/>
      <c r="D73" s="33"/>
      <c r="E73" s="33"/>
      <c r="F73" s="33"/>
      <c r="G73" s="33"/>
      <c r="H73" s="34"/>
      <c r="I73" s="34"/>
      <c r="J73" s="33"/>
      <c r="K73" s="33"/>
      <c r="L73" s="32" t="str">
        <f aca="false">IF(A73="","",IF(G73&lt;&gt;"Yes","Awaiting collab post",IF(K73&lt;&gt;"Yes","FIX DISCLOSURE",IF(N(I73)&gt;=250,"Convert to gift","Keep on loan"))))</f>
        <v/>
      </c>
    </row>
    <row r="74" customFormat="false" ht="15" hidden="false" customHeight="false" outlineLevel="0" collapsed="false">
      <c r="A74" s="33"/>
      <c r="B74" s="33"/>
      <c r="C74" s="34"/>
      <c r="D74" s="33"/>
      <c r="E74" s="33"/>
      <c r="F74" s="33"/>
      <c r="G74" s="33"/>
      <c r="H74" s="34"/>
      <c r="I74" s="34"/>
      <c r="J74" s="33"/>
      <c r="K74" s="33"/>
      <c r="L74" s="32" t="str">
        <f aca="false">IF(A74="","",IF(G74&lt;&gt;"Yes","Awaiting collab post",IF(K74&lt;&gt;"Yes","FIX DISCLOSURE",IF(N(I74)&gt;=250,"Convert to gift","Keep on loan"))))</f>
        <v/>
      </c>
    </row>
    <row r="75" customFormat="false" ht="15" hidden="false" customHeight="false" outlineLevel="0" collapsed="false">
      <c r="A75" s="33"/>
      <c r="B75" s="33"/>
      <c r="C75" s="34"/>
      <c r="D75" s="33"/>
      <c r="E75" s="33"/>
      <c r="F75" s="33"/>
      <c r="G75" s="33"/>
      <c r="H75" s="34"/>
      <c r="I75" s="34"/>
      <c r="J75" s="33"/>
      <c r="K75" s="33"/>
      <c r="L75" s="32" t="str">
        <f aca="false">IF(A75="","",IF(G75&lt;&gt;"Yes","Awaiting collab post",IF(K75&lt;&gt;"Yes","FIX DISCLOSURE",IF(N(I75)&gt;=250,"Convert to gift","Keep on loan"))))</f>
        <v/>
      </c>
    </row>
    <row r="76" customFormat="false" ht="15" hidden="false" customHeight="false" outlineLevel="0" collapsed="false">
      <c r="A76" s="33"/>
      <c r="B76" s="33"/>
      <c r="C76" s="34"/>
      <c r="D76" s="33"/>
      <c r="E76" s="33"/>
      <c r="F76" s="33"/>
      <c r="G76" s="33"/>
      <c r="H76" s="34"/>
      <c r="I76" s="34"/>
      <c r="J76" s="33"/>
      <c r="K76" s="33"/>
      <c r="L76" s="32" t="str">
        <f aca="false">IF(A76="","",IF(G76&lt;&gt;"Yes","Awaiting collab post",IF(K76&lt;&gt;"Yes","FIX DISCLOSURE",IF(N(I76)&gt;=250,"Convert to gift","Keep on loan"))))</f>
        <v/>
      </c>
    </row>
    <row r="77" customFormat="false" ht="15" hidden="false" customHeight="false" outlineLevel="0" collapsed="false">
      <c r="A77" s="33"/>
      <c r="B77" s="33"/>
      <c r="C77" s="34"/>
      <c r="D77" s="33"/>
      <c r="E77" s="33"/>
      <c r="F77" s="33"/>
      <c r="G77" s="33"/>
      <c r="H77" s="34"/>
      <c r="I77" s="34"/>
      <c r="J77" s="33"/>
      <c r="K77" s="33"/>
      <c r="L77" s="32" t="str">
        <f aca="false">IF(A77="","",IF(G77&lt;&gt;"Yes","Awaiting collab post",IF(K77&lt;&gt;"Yes","FIX DISCLOSURE",IF(N(I77)&gt;=250,"Convert to gift","Keep on loan"))))</f>
        <v/>
      </c>
    </row>
    <row r="78" customFormat="false" ht="15" hidden="false" customHeight="false" outlineLevel="0" collapsed="false">
      <c r="A78" s="33"/>
      <c r="B78" s="33"/>
      <c r="C78" s="34"/>
      <c r="D78" s="33"/>
      <c r="E78" s="33"/>
      <c r="F78" s="33"/>
      <c r="G78" s="33"/>
      <c r="H78" s="34"/>
      <c r="I78" s="34"/>
      <c r="J78" s="33"/>
      <c r="K78" s="33"/>
      <c r="L78" s="32" t="str">
        <f aca="false">IF(A78="","",IF(G78&lt;&gt;"Yes","Awaiting collab post",IF(K78&lt;&gt;"Yes","FIX DISCLOSURE",IF(N(I78)&gt;=250,"Convert to gift","Keep on loan"))))</f>
        <v/>
      </c>
    </row>
    <row r="79" customFormat="false" ht="15" hidden="false" customHeight="false" outlineLevel="0" collapsed="false">
      <c r="A79" s="33"/>
      <c r="B79" s="33"/>
      <c r="C79" s="34"/>
      <c r="D79" s="33"/>
      <c r="E79" s="33"/>
      <c r="F79" s="33"/>
      <c r="G79" s="33"/>
      <c r="H79" s="34"/>
      <c r="I79" s="34"/>
      <c r="J79" s="33"/>
      <c r="K79" s="33"/>
      <c r="L79" s="32" t="str">
        <f aca="false">IF(A79="","",IF(G79&lt;&gt;"Yes","Awaiting collab post",IF(K79&lt;&gt;"Yes","FIX DISCLOSURE",IF(N(I79)&gt;=250,"Convert to gift","Keep on loan"))))</f>
        <v/>
      </c>
    </row>
    <row r="80" customFormat="false" ht="15" hidden="false" customHeight="false" outlineLevel="0" collapsed="false">
      <c r="A80" s="33"/>
      <c r="B80" s="33"/>
      <c r="C80" s="34"/>
      <c r="D80" s="33"/>
      <c r="E80" s="33"/>
      <c r="F80" s="33"/>
      <c r="G80" s="33"/>
      <c r="H80" s="34"/>
      <c r="I80" s="34"/>
      <c r="J80" s="33"/>
      <c r="K80" s="33"/>
      <c r="L80" s="32" t="str">
        <f aca="false">IF(A80="","",IF(G80&lt;&gt;"Yes","Awaiting collab post",IF(K80&lt;&gt;"Yes","FIX DISCLOSURE",IF(N(I80)&gt;=250,"Convert to gift","Keep on loan"))))</f>
        <v/>
      </c>
    </row>
    <row r="81" customFormat="false" ht="15" hidden="false" customHeight="false" outlineLevel="0" collapsed="false">
      <c r="A81" s="33"/>
      <c r="B81" s="33"/>
      <c r="C81" s="34"/>
      <c r="D81" s="33"/>
      <c r="E81" s="33"/>
      <c r="F81" s="33"/>
      <c r="G81" s="33"/>
      <c r="H81" s="34"/>
      <c r="I81" s="34"/>
      <c r="J81" s="33"/>
      <c r="K81" s="33"/>
      <c r="L81" s="32" t="str">
        <f aca="false">IF(A81="","",IF(G81&lt;&gt;"Yes","Awaiting collab post",IF(K81&lt;&gt;"Yes","FIX DISCLOSURE",IF(N(I81)&gt;=250,"Convert to gift","Keep on loan"))))</f>
        <v/>
      </c>
    </row>
    <row r="82" customFormat="false" ht="15" hidden="false" customHeight="false" outlineLevel="0" collapsed="false">
      <c r="A82" s="33"/>
      <c r="B82" s="33"/>
      <c r="C82" s="34"/>
      <c r="D82" s="33"/>
      <c r="E82" s="33"/>
      <c r="F82" s="33"/>
      <c r="G82" s="33"/>
      <c r="H82" s="34"/>
      <c r="I82" s="34"/>
      <c r="J82" s="33"/>
      <c r="K82" s="33"/>
      <c r="L82" s="32" t="str">
        <f aca="false">IF(A82="","",IF(G82&lt;&gt;"Yes","Awaiting collab post",IF(K82&lt;&gt;"Yes","FIX DISCLOSURE",IF(N(I82)&gt;=250,"Convert to gift","Keep on loan"))))</f>
        <v/>
      </c>
    </row>
    <row r="83" customFormat="false" ht="15" hidden="false" customHeight="false" outlineLevel="0" collapsed="false">
      <c r="A83" s="33"/>
      <c r="B83" s="33"/>
      <c r="C83" s="34"/>
      <c r="D83" s="33"/>
      <c r="E83" s="33"/>
      <c r="F83" s="33"/>
      <c r="G83" s="33"/>
      <c r="H83" s="34"/>
      <c r="I83" s="34"/>
      <c r="J83" s="33"/>
      <c r="K83" s="33"/>
      <c r="L83" s="32" t="str">
        <f aca="false">IF(A83="","",IF(G83&lt;&gt;"Yes","Awaiting collab post",IF(K83&lt;&gt;"Yes","FIX DISCLOSURE",IF(N(I83)&gt;=250,"Convert to gift","Keep on loan"))))</f>
        <v/>
      </c>
    </row>
    <row r="84" customFormat="false" ht="15" hidden="false" customHeight="false" outlineLevel="0" collapsed="false">
      <c r="A84" s="33"/>
      <c r="B84" s="33"/>
      <c r="C84" s="34"/>
      <c r="D84" s="33"/>
      <c r="E84" s="33"/>
      <c r="F84" s="33"/>
      <c r="G84" s="33"/>
      <c r="H84" s="34"/>
      <c r="I84" s="34"/>
      <c r="J84" s="33"/>
      <c r="K84" s="33"/>
      <c r="L84" s="32" t="str">
        <f aca="false">IF(A84="","",IF(G84&lt;&gt;"Yes","Awaiting collab post",IF(K84&lt;&gt;"Yes","FIX DISCLOSURE",IF(N(I84)&gt;=250,"Convert to gift","Keep on loan"))))</f>
        <v/>
      </c>
    </row>
    <row r="85" customFormat="false" ht="15" hidden="false" customHeight="false" outlineLevel="0" collapsed="false">
      <c r="A85" s="33"/>
      <c r="B85" s="33"/>
      <c r="C85" s="34"/>
      <c r="D85" s="33"/>
      <c r="E85" s="33"/>
      <c r="F85" s="33"/>
      <c r="G85" s="33"/>
      <c r="H85" s="34"/>
      <c r="I85" s="34"/>
      <c r="J85" s="33"/>
      <c r="K85" s="33"/>
      <c r="L85" s="32" t="str">
        <f aca="false">IF(A85="","",IF(G85&lt;&gt;"Yes","Awaiting collab post",IF(K85&lt;&gt;"Yes","FIX DISCLOSURE",IF(N(I85)&gt;=250,"Convert to gift","Keep on loan"))))</f>
        <v/>
      </c>
    </row>
    <row r="86" customFormat="false" ht="15" hidden="false" customHeight="false" outlineLevel="0" collapsed="false">
      <c r="A86" s="33"/>
      <c r="B86" s="33"/>
      <c r="C86" s="34"/>
      <c r="D86" s="33"/>
      <c r="E86" s="33"/>
      <c r="F86" s="33"/>
      <c r="G86" s="33"/>
      <c r="H86" s="34"/>
      <c r="I86" s="34"/>
      <c r="J86" s="33"/>
      <c r="K86" s="33"/>
      <c r="L86" s="32" t="str">
        <f aca="false">IF(A86="","",IF(G86&lt;&gt;"Yes","Awaiting collab post",IF(K86&lt;&gt;"Yes","FIX DISCLOSURE",IF(N(I86)&gt;=250,"Convert to gift","Keep on loan"))))</f>
        <v/>
      </c>
    </row>
    <row r="87" customFormat="false" ht="15" hidden="false" customHeight="false" outlineLevel="0" collapsed="false">
      <c r="A87" s="33"/>
      <c r="B87" s="33"/>
      <c r="C87" s="34"/>
      <c r="D87" s="33"/>
      <c r="E87" s="33"/>
      <c r="F87" s="33"/>
      <c r="G87" s="33"/>
      <c r="H87" s="34"/>
      <c r="I87" s="34"/>
      <c r="J87" s="33"/>
      <c r="K87" s="33"/>
      <c r="L87" s="32" t="str">
        <f aca="false">IF(A87="","",IF(G87&lt;&gt;"Yes","Awaiting collab post",IF(K87&lt;&gt;"Yes","FIX DISCLOSURE",IF(N(I87)&gt;=250,"Convert to gift","Keep on loan"))))</f>
        <v/>
      </c>
    </row>
    <row r="88" customFormat="false" ht="15" hidden="false" customHeight="false" outlineLevel="0" collapsed="false">
      <c r="A88" s="33"/>
      <c r="B88" s="33"/>
      <c r="C88" s="34"/>
      <c r="D88" s="33"/>
      <c r="E88" s="33"/>
      <c r="F88" s="33"/>
      <c r="G88" s="33"/>
      <c r="H88" s="34"/>
      <c r="I88" s="34"/>
      <c r="J88" s="33"/>
      <c r="K88" s="33"/>
      <c r="L88" s="32" t="str">
        <f aca="false">IF(A88="","",IF(G88&lt;&gt;"Yes","Awaiting collab post",IF(K88&lt;&gt;"Yes","FIX DISCLOSURE",IF(N(I88)&gt;=250,"Convert to gift","Keep on loan"))))</f>
        <v/>
      </c>
    </row>
    <row r="89" customFormat="false" ht="15" hidden="false" customHeight="false" outlineLevel="0" collapsed="false">
      <c r="A89" s="33"/>
      <c r="B89" s="33"/>
      <c r="C89" s="34"/>
      <c r="D89" s="33"/>
      <c r="E89" s="33"/>
      <c r="F89" s="33"/>
      <c r="G89" s="33"/>
      <c r="H89" s="34"/>
      <c r="I89" s="34"/>
      <c r="J89" s="33"/>
      <c r="K89" s="33"/>
      <c r="L89" s="32" t="str">
        <f aca="false">IF(A89="","",IF(G89&lt;&gt;"Yes","Awaiting collab post",IF(K89&lt;&gt;"Yes","FIX DISCLOSURE",IF(N(I89)&gt;=250,"Convert to gift","Keep on loan"))))</f>
        <v/>
      </c>
    </row>
    <row r="90" customFormat="false" ht="15" hidden="false" customHeight="false" outlineLevel="0" collapsed="false">
      <c r="A90" s="33"/>
      <c r="B90" s="33"/>
      <c r="C90" s="34"/>
      <c r="D90" s="33"/>
      <c r="E90" s="33"/>
      <c r="F90" s="33"/>
      <c r="G90" s="33"/>
      <c r="H90" s="34"/>
      <c r="I90" s="34"/>
      <c r="J90" s="33"/>
      <c r="K90" s="33"/>
      <c r="L90" s="32" t="str">
        <f aca="false">IF(A90="","",IF(G90&lt;&gt;"Yes","Awaiting collab post",IF(K90&lt;&gt;"Yes","FIX DISCLOSURE",IF(N(I90)&gt;=250,"Convert to gift","Keep on loan"))))</f>
        <v/>
      </c>
    </row>
    <row r="91" customFormat="false" ht="15" hidden="false" customHeight="false" outlineLevel="0" collapsed="false">
      <c r="A91" s="33"/>
      <c r="B91" s="33"/>
      <c r="C91" s="34"/>
      <c r="D91" s="33"/>
      <c r="E91" s="33"/>
      <c r="F91" s="33"/>
      <c r="G91" s="33"/>
      <c r="H91" s="34"/>
      <c r="I91" s="34"/>
      <c r="J91" s="33"/>
      <c r="K91" s="33"/>
      <c r="L91" s="32" t="str">
        <f aca="false">IF(A91="","",IF(G91&lt;&gt;"Yes","Awaiting collab post",IF(K91&lt;&gt;"Yes","FIX DISCLOSURE",IF(N(I91)&gt;=250,"Convert to gift","Keep on loan"))))</f>
        <v/>
      </c>
    </row>
    <row r="92" customFormat="false" ht="15" hidden="false" customHeight="false" outlineLevel="0" collapsed="false">
      <c r="A92" s="33"/>
      <c r="B92" s="33"/>
      <c r="C92" s="34"/>
      <c r="D92" s="33"/>
      <c r="E92" s="33"/>
      <c r="F92" s="33"/>
      <c r="G92" s="33"/>
      <c r="H92" s="34"/>
      <c r="I92" s="34"/>
      <c r="J92" s="33"/>
      <c r="K92" s="33"/>
      <c r="L92" s="32" t="str">
        <f aca="false">IF(A92="","",IF(G92&lt;&gt;"Yes","Awaiting collab post",IF(K92&lt;&gt;"Yes","FIX DISCLOSURE",IF(N(I92)&gt;=250,"Convert to gift","Keep on loan"))))</f>
        <v/>
      </c>
    </row>
    <row r="93" customFormat="false" ht="15" hidden="false" customHeight="false" outlineLevel="0" collapsed="false">
      <c r="A93" s="33"/>
      <c r="B93" s="33"/>
      <c r="C93" s="34"/>
      <c r="D93" s="33"/>
      <c r="E93" s="33"/>
      <c r="F93" s="33"/>
      <c r="G93" s="33"/>
      <c r="H93" s="34"/>
      <c r="I93" s="34"/>
      <c r="J93" s="33"/>
      <c r="K93" s="33"/>
      <c r="L93" s="32" t="str">
        <f aca="false">IF(A93="","",IF(G93&lt;&gt;"Yes","Awaiting collab post",IF(K93&lt;&gt;"Yes","FIX DISCLOSURE",IF(N(I93)&gt;=250,"Convert to gift","Keep on loan"))))</f>
        <v/>
      </c>
    </row>
    <row r="94" customFormat="false" ht="15" hidden="false" customHeight="false" outlineLevel="0" collapsed="false">
      <c r="A94" s="33"/>
      <c r="B94" s="33"/>
      <c r="C94" s="34"/>
      <c r="D94" s="33"/>
      <c r="E94" s="33"/>
      <c r="F94" s="33"/>
      <c r="G94" s="33"/>
      <c r="H94" s="34"/>
      <c r="I94" s="34"/>
      <c r="J94" s="33"/>
      <c r="K94" s="33"/>
      <c r="L94" s="32" t="str">
        <f aca="false">IF(A94="","",IF(G94&lt;&gt;"Yes","Awaiting collab post",IF(K94&lt;&gt;"Yes","FIX DISCLOSURE",IF(N(I94)&gt;=250,"Convert to gift","Keep on loan"))))</f>
        <v/>
      </c>
    </row>
    <row r="95" customFormat="false" ht="15" hidden="false" customHeight="false" outlineLevel="0" collapsed="false">
      <c r="A95" s="33"/>
      <c r="B95" s="33"/>
      <c r="C95" s="34"/>
      <c r="D95" s="33"/>
      <c r="E95" s="33"/>
      <c r="F95" s="33"/>
      <c r="G95" s="33"/>
      <c r="H95" s="34"/>
      <c r="I95" s="34"/>
      <c r="J95" s="33"/>
      <c r="K95" s="33"/>
      <c r="L95" s="32" t="str">
        <f aca="false">IF(A95="","",IF(G95&lt;&gt;"Yes","Awaiting collab post",IF(K95&lt;&gt;"Yes","FIX DISCLOSURE",IF(N(I95)&gt;=250,"Convert to gift","Keep on loan"))))</f>
        <v/>
      </c>
    </row>
    <row r="96" customFormat="false" ht="15" hidden="false" customHeight="false" outlineLevel="0" collapsed="false">
      <c r="A96" s="33"/>
      <c r="B96" s="33"/>
      <c r="C96" s="34"/>
      <c r="D96" s="33"/>
      <c r="E96" s="33"/>
      <c r="F96" s="33"/>
      <c r="G96" s="33"/>
      <c r="H96" s="34"/>
      <c r="I96" s="34"/>
      <c r="J96" s="33"/>
      <c r="K96" s="33"/>
      <c r="L96" s="32" t="str">
        <f aca="false">IF(A96="","",IF(G96&lt;&gt;"Yes","Awaiting collab post",IF(K96&lt;&gt;"Yes","FIX DISCLOSURE",IF(N(I96)&gt;=250,"Convert to gift","Keep on loan"))))</f>
        <v/>
      </c>
    </row>
    <row r="97" customFormat="false" ht="15" hidden="false" customHeight="false" outlineLevel="0" collapsed="false">
      <c r="A97" s="33"/>
      <c r="B97" s="33"/>
      <c r="C97" s="34"/>
      <c r="D97" s="33"/>
      <c r="E97" s="33"/>
      <c r="F97" s="33"/>
      <c r="G97" s="33"/>
      <c r="H97" s="34"/>
      <c r="I97" s="34"/>
      <c r="J97" s="33"/>
      <c r="K97" s="33"/>
      <c r="L97" s="32" t="str">
        <f aca="false">IF(A97="","",IF(G97&lt;&gt;"Yes","Awaiting collab post",IF(K97&lt;&gt;"Yes","FIX DISCLOSURE",IF(N(I97)&gt;=250,"Convert to gift","Keep on loan"))))</f>
        <v/>
      </c>
    </row>
    <row r="98" customFormat="false" ht="15" hidden="false" customHeight="false" outlineLevel="0" collapsed="false">
      <c r="A98" s="33"/>
      <c r="B98" s="33"/>
      <c r="C98" s="34"/>
      <c r="D98" s="33"/>
      <c r="E98" s="33"/>
      <c r="F98" s="33"/>
      <c r="G98" s="33"/>
      <c r="H98" s="34"/>
      <c r="I98" s="34"/>
      <c r="J98" s="33"/>
      <c r="K98" s="33"/>
      <c r="L98" s="32" t="str">
        <f aca="false">IF(A98="","",IF(G98&lt;&gt;"Yes","Awaiting collab post",IF(K98&lt;&gt;"Yes","FIX DISCLOSURE",IF(N(I98)&gt;=250,"Convert to gift","Keep on loan"))))</f>
        <v/>
      </c>
    </row>
    <row r="99" customFormat="false" ht="15" hidden="false" customHeight="false" outlineLevel="0" collapsed="false">
      <c r="A99" s="33"/>
      <c r="B99" s="33"/>
      <c r="C99" s="34"/>
      <c r="D99" s="33"/>
      <c r="E99" s="33"/>
      <c r="F99" s="33"/>
      <c r="G99" s="33"/>
      <c r="H99" s="34"/>
      <c r="I99" s="34"/>
      <c r="J99" s="33"/>
      <c r="K99" s="33"/>
      <c r="L99" s="32" t="str">
        <f aca="false">IF(A99="","",IF(G99&lt;&gt;"Yes","Awaiting collab post",IF(K99&lt;&gt;"Yes","FIX DISCLOSURE",IF(N(I99)&gt;=250,"Convert to gift","Keep on loan"))))</f>
        <v/>
      </c>
    </row>
    <row r="100" customFormat="false" ht="15" hidden="false" customHeight="false" outlineLevel="0" collapsed="false">
      <c r="A100" s="33"/>
      <c r="B100" s="33"/>
      <c r="C100" s="34"/>
      <c r="D100" s="33"/>
      <c r="E100" s="33"/>
      <c r="F100" s="33"/>
      <c r="G100" s="33"/>
      <c r="H100" s="34"/>
      <c r="I100" s="34"/>
      <c r="J100" s="33"/>
      <c r="K100" s="33"/>
      <c r="L100" s="32" t="str">
        <f aca="false">IF(A100="","",IF(G100&lt;&gt;"Yes","Awaiting collab post",IF(K100&lt;&gt;"Yes","FIX DISCLOSURE",IF(N(I100)&gt;=250,"Convert to gift","Keep on loan"))))</f>
        <v/>
      </c>
    </row>
    <row r="101" customFormat="false" ht="15" hidden="false" customHeight="false" outlineLevel="0" collapsed="false">
      <c r="A101" s="33"/>
      <c r="B101" s="33"/>
      <c r="C101" s="34"/>
      <c r="D101" s="33"/>
      <c r="E101" s="33"/>
      <c r="F101" s="33"/>
      <c r="G101" s="33"/>
      <c r="H101" s="34"/>
      <c r="I101" s="34"/>
      <c r="J101" s="33"/>
      <c r="K101" s="33"/>
      <c r="L101" s="32" t="str">
        <f aca="false">IF(A101="","",IF(G101&lt;&gt;"Yes","Awaiting collab post",IF(K101&lt;&gt;"Yes","FIX DISCLOSURE",IF(N(I101)&gt;=250,"Convert to gift","Keep on loan"))))</f>
        <v/>
      </c>
    </row>
    <row r="102" customFormat="false" ht="15" hidden="false" customHeight="false" outlineLevel="0" collapsed="false">
      <c r="A102" s="33"/>
      <c r="B102" s="33"/>
      <c r="C102" s="34"/>
      <c r="D102" s="33"/>
      <c r="E102" s="33"/>
      <c r="F102" s="33"/>
      <c r="G102" s="33"/>
      <c r="H102" s="34"/>
      <c r="I102" s="34"/>
      <c r="J102" s="33"/>
      <c r="K102" s="33"/>
      <c r="L102" s="32" t="str">
        <f aca="false">IF(A102="","",IF(G102&lt;&gt;"Yes","Awaiting collab post",IF(K102&lt;&gt;"Yes","FIX DISCLOSURE",IF(N(I102)&gt;=250,"Convert to gift","Keep on loan"))))</f>
        <v/>
      </c>
    </row>
    <row r="103" customFormat="false" ht="15" hidden="false" customHeight="false" outlineLevel="0" collapsed="false">
      <c r="A103" s="33"/>
      <c r="B103" s="33"/>
      <c r="C103" s="34"/>
      <c r="D103" s="33"/>
      <c r="E103" s="33"/>
      <c r="F103" s="33"/>
      <c r="G103" s="33"/>
      <c r="H103" s="34"/>
      <c r="I103" s="34"/>
      <c r="J103" s="33"/>
      <c r="K103" s="33"/>
      <c r="L103" s="32" t="str">
        <f aca="false">IF(A103="","",IF(G103&lt;&gt;"Yes","Awaiting collab post",IF(K103&lt;&gt;"Yes","FIX DISCLOSURE",IF(N(I103)&gt;=250,"Convert to gift","Keep on loan"))))</f>
        <v/>
      </c>
    </row>
    <row r="104" customFormat="false" ht="15" hidden="false" customHeight="false" outlineLevel="0" collapsed="false">
      <c r="A104" s="33"/>
      <c r="B104" s="33"/>
      <c r="C104" s="34"/>
      <c r="D104" s="33"/>
      <c r="E104" s="33"/>
      <c r="F104" s="33"/>
      <c r="G104" s="33"/>
      <c r="H104" s="34"/>
      <c r="I104" s="34"/>
      <c r="J104" s="33"/>
      <c r="K104" s="33"/>
      <c r="L104" s="32" t="str">
        <f aca="false">IF(A104="","",IF(G104&lt;&gt;"Yes","Awaiting collab post",IF(K104&lt;&gt;"Yes","FIX DISCLOSURE",IF(N(I104)&gt;=250,"Convert to gift","Keep on loan"))))</f>
        <v/>
      </c>
    </row>
    <row r="105" customFormat="false" ht="15" hidden="false" customHeight="false" outlineLevel="0" collapsed="false">
      <c r="A105" s="33"/>
      <c r="B105" s="33"/>
      <c r="C105" s="34"/>
      <c r="D105" s="33"/>
      <c r="E105" s="33"/>
      <c r="F105" s="33"/>
      <c r="G105" s="33"/>
      <c r="H105" s="34"/>
      <c r="I105" s="34"/>
      <c r="J105" s="33"/>
      <c r="K105" s="33"/>
      <c r="L105" s="32" t="str">
        <f aca="false">IF(A105="","",IF(G105&lt;&gt;"Yes","Awaiting collab post",IF(K105&lt;&gt;"Yes","FIX DISCLOSURE",IF(N(I105)&gt;=250,"Convert to gift","Keep on loan"))))</f>
        <v/>
      </c>
    </row>
    <row r="106" customFormat="false" ht="15" hidden="false" customHeight="false" outlineLevel="0" collapsed="false">
      <c r="A106" s="33"/>
      <c r="B106" s="33"/>
      <c r="C106" s="34"/>
      <c r="D106" s="33"/>
      <c r="E106" s="33"/>
      <c r="F106" s="33"/>
      <c r="G106" s="33"/>
      <c r="H106" s="34"/>
      <c r="I106" s="34"/>
      <c r="J106" s="33"/>
      <c r="K106" s="33"/>
      <c r="L106" s="32" t="str">
        <f aca="false">IF(A106="","",IF(G106&lt;&gt;"Yes","Awaiting collab post",IF(K106&lt;&gt;"Yes","FIX DISCLOSURE",IF(N(I106)&gt;=250,"Convert to gift","Keep on loan"))))</f>
        <v/>
      </c>
    </row>
    <row r="107" customFormat="false" ht="15" hidden="false" customHeight="false" outlineLevel="0" collapsed="false">
      <c r="A107" s="33"/>
      <c r="B107" s="33"/>
      <c r="C107" s="34"/>
      <c r="D107" s="33"/>
      <c r="E107" s="33"/>
      <c r="F107" s="33"/>
      <c r="G107" s="33"/>
      <c r="H107" s="34"/>
      <c r="I107" s="34"/>
      <c r="J107" s="33"/>
      <c r="K107" s="33"/>
      <c r="L107" s="32" t="str">
        <f aca="false">IF(A107="","",IF(G107&lt;&gt;"Yes","Awaiting collab post",IF(K107&lt;&gt;"Yes","FIX DISCLOSURE",IF(N(I107)&gt;=250,"Convert to gift","Keep on loan"))))</f>
        <v/>
      </c>
    </row>
    <row r="108" customFormat="false" ht="15" hidden="false" customHeight="false" outlineLevel="0" collapsed="false">
      <c r="A108" s="33"/>
      <c r="B108" s="33"/>
      <c r="C108" s="34"/>
      <c r="D108" s="33"/>
      <c r="E108" s="33"/>
      <c r="F108" s="33"/>
      <c r="G108" s="33"/>
      <c r="H108" s="34"/>
      <c r="I108" s="34"/>
      <c r="J108" s="33"/>
      <c r="K108" s="33"/>
      <c r="L108" s="32" t="str">
        <f aca="false">IF(A108="","",IF(G108&lt;&gt;"Yes","Awaiting collab post",IF(K108&lt;&gt;"Yes","FIX DISCLOSURE",IF(N(I108)&gt;=250,"Convert to gift","Keep on loan"))))</f>
        <v/>
      </c>
    </row>
    <row r="109" customFormat="false" ht="15" hidden="false" customHeight="false" outlineLevel="0" collapsed="false">
      <c r="A109" s="33"/>
      <c r="B109" s="33"/>
      <c r="C109" s="34"/>
      <c r="D109" s="33"/>
      <c r="E109" s="33"/>
      <c r="F109" s="33"/>
      <c r="G109" s="33"/>
      <c r="H109" s="34"/>
      <c r="I109" s="34"/>
      <c r="J109" s="33"/>
      <c r="K109" s="33"/>
      <c r="L109" s="32" t="str">
        <f aca="false">IF(A109="","",IF(G109&lt;&gt;"Yes","Awaiting collab post",IF(K109&lt;&gt;"Yes","FIX DISCLOSURE",IF(N(I109)&gt;=250,"Convert to gift","Keep on loan"))))</f>
        <v/>
      </c>
    </row>
    <row r="110" customFormat="false" ht="15" hidden="false" customHeight="false" outlineLevel="0" collapsed="false">
      <c r="A110" s="33"/>
      <c r="B110" s="33"/>
      <c r="C110" s="34"/>
      <c r="D110" s="33"/>
      <c r="E110" s="33"/>
      <c r="F110" s="33"/>
      <c r="G110" s="33"/>
      <c r="H110" s="34"/>
      <c r="I110" s="34"/>
      <c r="J110" s="33"/>
      <c r="K110" s="33"/>
      <c r="L110" s="32" t="str">
        <f aca="false">IF(A110="","",IF(G110&lt;&gt;"Yes","Awaiting collab post",IF(K110&lt;&gt;"Yes","FIX DISCLOSURE",IF(N(I110)&gt;=250,"Convert to gift","Keep on loan"))))</f>
        <v/>
      </c>
    </row>
    <row r="111" customFormat="false" ht="15" hidden="false" customHeight="false" outlineLevel="0" collapsed="false">
      <c r="A111" s="33"/>
      <c r="B111" s="33"/>
      <c r="C111" s="34"/>
      <c r="D111" s="33"/>
      <c r="E111" s="33"/>
      <c r="F111" s="33"/>
      <c r="G111" s="33"/>
      <c r="H111" s="34"/>
      <c r="I111" s="34"/>
      <c r="J111" s="33"/>
      <c r="K111" s="33"/>
      <c r="L111" s="32" t="str">
        <f aca="false">IF(A111="","",IF(G111&lt;&gt;"Yes","Awaiting collab post",IF(K111&lt;&gt;"Yes","FIX DISCLOSURE",IF(N(I111)&gt;=250,"Convert to gift","Keep on loan"))))</f>
        <v/>
      </c>
    </row>
    <row r="112" customFormat="false" ht="15" hidden="false" customHeight="false" outlineLevel="0" collapsed="false">
      <c r="A112" s="33"/>
      <c r="B112" s="33"/>
      <c r="C112" s="34"/>
      <c r="D112" s="33"/>
      <c r="E112" s="33"/>
      <c r="F112" s="33"/>
      <c r="G112" s="33"/>
      <c r="H112" s="34"/>
      <c r="I112" s="34"/>
      <c r="J112" s="33"/>
      <c r="K112" s="33"/>
      <c r="L112" s="32" t="str">
        <f aca="false">IF(A112="","",IF(G112&lt;&gt;"Yes","Awaiting collab post",IF(K112&lt;&gt;"Yes","FIX DISCLOSURE",IF(N(I112)&gt;=250,"Convert to gift","Keep on loan"))))</f>
        <v/>
      </c>
    </row>
    <row r="113" customFormat="false" ht="15" hidden="false" customHeight="false" outlineLevel="0" collapsed="false">
      <c r="A113" s="33"/>
      <c r="B113" s="33"/>
      <c r="C113" s="34"/>
      <c r="D113" s="33"/>
      <c r="E113" s="33"/>
      <c r="F113" s="33"/>
      <c r="G113" s="33"/>
      <c r="H113" s="34"/>
      <c r="I113" s="34"/>
      <c r="J113" s="33"/>
      <c r="K113" s="33"/>
      <c r="L113" s="32" t="str">
        <f aca="false">IF(A113="","",IF(G113&lt;&gt;"Yes","Awaiting collab post",IF(K113&lt;&gt;"Yes","FIX DISCLOSURE",IF(N(I113)&gt;=250,"Convert to gift","Keep on loan"))))</f>
        <v/>
      </c>
    </row>
    <row r="114" customFormat="false" ht="15" hidden="false" customHeight="false" outlineLevel="0" collapsed="false">
      <c r="A114" s="33"/>
      <c r="B114" s="33"/>
      <c r="C114" s="34"/>
      <c r="D114" s="33"/>
      <c r="E114" s="33"/>
      <c r="F114" s="33"/>
      <c r="G114" s="33"/>
      <c r="H114" s="34"/>
      <c r="I114" s="34"/>
      <c r="J114" s="33"/>
      <c r="K114" s="33"/>
      <c r="L114" s="32" t="str">
        <f aca="false">IF(A114="","",IF(G114&lt;&gt;"Yes","Awaiting collab post",IF(K114&lt;&gt;"Yes","FIX DISCLOSURE",IF(N(I114)&gt;=250,"Convert to gift","Keep on loan"))))</f>
        <v/>
      </c>
    </row>
    <row r="115" customFormat="false" ht="15" hidden="false" customHeight="false" outlineLevel="0" collapsed="false">
      <c r="A115" s="33"/>
      <c r="B115" s="33"/>
      <c r="C115" s="34"/>
      <c r="D115" s="33"/>
      <c r="E115" s="33"/>
      <c r="F115" s="33"/>
      <c r="G115" s="33"/>
      <c r="H115" s="34"/>
      <c r="I115" s="34"/>
      <c r="J115" s="33"/>
      <c r="K115" s="33"/>
      <c r="L115" s="32" t="str">
        <f aca="false">IF(A115="","",IF(G115&lt;&gt;"Yes","Awaiting collab post",IF(K115&lt;&gt;"Yes","FIX DISCLOSURE",IF(N(I115)&gt;=250,"Convert to gift","Keep on loan"))))</f>
        <v/>
      </c>
    </row>
    <row r="116" customFormat="false" ht="15" hidden="false" customHeight="false" outlineLevel="0" collapsed="false">
      <c r="A116" s="33"/>
      <c r="B116" s="33"/>
      <c r="C116" s="34"/>
      <c r="D116" s="33"/>
      <c r="E116" s="33"/>
      <c r="F116" s="33"/>
      <c r="G116" s="33"/>
      <c r="H116" s="34"/>
      <c r="I116" s="34"/>
      <c r="J116" s="33"/>
      <c r="K116" s="33"/>
      <c r="L116" s="32" t="str">
        <f aca="false">IF(A116="","",IF(G116&lt;&gt;"Yes","Awaiting collab post",IF(K116&lt;&gt;"Yes","FIX DISCLOSURE",IF(N(I116)&gt;=250,"Convert to gift","Keep on loan"))))</f>
        <v/>
      </c>
    </row>
    <row r="117" customFormat="false" ht="15" hidden="false" customHeight="false" outlineLevel="0" collapsed="false">
      <c r="A117" s="33"/>
      <c r="B117" s="33"/>
      <c r="C117" s="34"/>
      <c r="D117" s="33"/>
      <c r="E117" s="33"/>
      <c r="F117" s="33"/>
      <c r="G117" s="33"/>
      <c r="H117" s="34"/>
      <c r="I117" s="34"/>
      <c r="J117" s="33"/>
      <c r="K117" s="33"/>
      <c r="L117" s="32" t="str">
        <f aca="false">IF(A117="","",IF(G117&lt;&gt;"Yes","Awaiting collab post",IF(K117&lt;&gt;"Yes","FIX DISCLOSURE",IF(N(I117)&gt;=250,"Convert to gift","Keep on loan"))))</f>
        <v/>
      </c>
    </row>
    <row r="118" customFormat="false" ht="15" hidden="false" customHeight="false" outlineLevel="0" collapsed="false">
      <c r="A118" s="33"/>
      <c r="B118" s="33"/>
      <c r="C118" s="34"/>
      <c r="D118" s="33"/>
      <c r="E118" s="33"/>
      <c r="F118" s="33"/>
      <c r="G118" s="33"/>
      <c r="H118" s="34"/>
      <c r="I118" s="34"/>
      <c r="J118" s="33"/>
      <c r="K118" s="33"/>
      <c r="L118" s="32" t="str">
        <f aca="false">IF(A118="","",IF(G118&lt;&gt;"Yes","Awaiting collab post",IF(K118&lt;&gt;"Yes","FIX DISCLOSURE",IF(N(I118)&gt;=250,"Convert to gift","Keep on loan"))))</f>
        <v/>
      </c>
    </row>
    <row r="119" customFormat="false" ht="15" hidden="false" customHeight="false" outlineLevel="0" collapsed="false">
      <c r="A119" s="33"/>
      <c r="B119" s="33"/>
      <c r="C119" s="34"/>
      <c r="D119" s="33"/>
      <c r="E119" s="33"/>
      <c r="F119" s="33"/>
      <c r="G119" s="33"/>
      <c r="H119" s="34"/>
      <c r="I119" s="34"/>
      <c r="J119" s="33"/>
      <c r="K119" s="33"/>
      <c r="L119" s="32" t="str">
        <f aca="false">IF(A119="","",IF(G119&lt;&gt;"Yes","Awaiting collab post",IF(K119&lt;&gt;"Yes","FIX DISCLOSURE",IF(N(I119)&gt;=250,"Convert to gift","Keep on loan"))))</f>
        <v/>
      </c>
    </row>
    <row r="120" customFormat="false" ht="15" hidden="false" customHeight="false" outlineLevel="0" collapsed="false">
      <c r="A120" s="33"/>
      <c r="B120" s="33"/>
      <c r="C120" s="34"/>
      <c r="D120" s="33"/>
      <c r="E120" s="33"/>
      <c r="F120" s="33"/>
      <c r="G120" s="33"/>
      <c r="H120" s="34"/>
      <c r="I120" s="34"/>
      <c r="J120" s="33"/>
      <c r="K120" s="33"/>
      <c r="L120" s="32" t="str">
        <f aca="false">IF(A120="","",IF(G120&lt;&gt;"Yes","Awaiting collab post",IF(K120&lt;&gt;"Yes","FIX DISCLOSURE",IF(N(I120)&gt;=250,"Convert to gift","Keep on loan"))))</f>
        <v/>
      </c>
    </row>
  </sheetData>
  <dataValidations count="2">
    <dataValidation allowBlank="true" errorStyle="stop" operator="between" showDropDown="false" showErrorMessage="false" showInputMessage="false" sqref="G5:G120 K5:K120" type="list">
      <formula1>"Yes,No"</formula1>
      <formula2>0</formula2>
    </dataValidation>
    <dataValidation allowBlank="true" errorStyle="stop" operator="between" showDropDown="false" showErrorMessage="false" showInputMessage="false" sqref="F5:F120" type="list">
      <formula1>"Contacted,Agreed,Shipped,Delivered,Posted,Returned,Declined"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2026-08-06T11:15:42Z</dcterms:created>
  <dc:creator>openpyxl</dc:creator>
  <dc:description/>
  <dc:language>en-US</dc:language>
  <cp:lastModifiedBy/>
  <dcterms:modified xsi:type="dcterms:W3CDTF">2026-08-06T13:04:49Z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